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7d7448671280e3e/Desktop/2026 - 1/강의/건축공학종합설계 및 실습/파이썬을 이용한 데이터센터 모델링/3E 결과 데이터/"/>
    </mc:Choice>
  </mc:AlternateContent>
  <xr:revisionPtr revIDLastSave="33" documentId="13_ncr:1_{E0B5175E-845A-42FF-8460-54B254DD5C18}" xr6:coauthVersionLast="47" xr6:coauthVersionMax="47" xr10:uidLastSave="{1358BC36-E992-4982-A0FD-E5F19554320D}"/>
  <bookViews>
    <workbookView xWindow="-120" yWindow="-120" windowWidth="29040" windowHeight="15720" activeTab="5" xr2:uid="{00000000-000D-0000-FFFF-FFFF00000000}"/>
  </bookViews>
  <sheets>
    <sheet name="분석조건" sheetId="1" r:id="rId1"/>
    <sheet name="에너지" sheetId="2" r:id="rId2"/>
    <sheet name="경제" sheetId="3" r:id="rId3"/>
    <sheet name="환경" sheetId="4" r:id="rId4"/>
    <sheet name="종합KPI" sheetId="5" r:id="rId5"/>
    <sheet name="민감도_NPV" sheetId="6" r:id="rId6"/>
    <sheet name="누적_춘천" sheetId="7" r:id="rId7"/>
    <sheet name="누적_구미" sheetId="8" r:id="rId8"/>
    <sheet name="누적_세종" sheetId="9" r:id="rId9"/>
    <sheet name="누적_울산" sheetId="10" r:id="rId10"/>
    <sheet name="누적_해남" sheetId="11" r:id="rId11"/>
    <sheet name="Sheet1" sheetId="13" r:id="rId12"/>
  </sheets>
  <calcPr calcId="191029"/>
</workbook>
</file>

<file path=xl/calcChain.xml><?xml version="1.0" encoding="utf-8"?>
<calcChain xmlns="http://schemas.openxmlformats.org/spreadsheetml/2006/main">
  <c r="C9" i="4" l="1"/>
  <c r="B17" i="1"/>
  <c r="D2" i="7"/>
</calcChain>
</file>

<file path=xl/sharedStrings.xml><?xml version="1.0" encoding="utf-8"?>
<sst xmlns="http://schemas.openxmlformats.org/spreadsheetml/2006/main" count="133" uniqueCount="79">
  <si>
    <t>항목</t>
  </si>
  <si>
    <t>값</t>
  </si>
  <si>
    <t>기준규모</t>
  </si>
  <si>
    <t>40MW</t>
  </si>
  <si>
    <t>기준케이스</t>
  </si>
  <si>
    <t>reference</t>
  </si>
  <si>
    <t>전기단가(원/kWh)</t>
  </si>
  <si>
    <t>5%</t>
  </si>
  <si>
    <t>6.5%</t>
  </si>
  <si>
    <t>CAPEX(억)</t>
  </si>
  <si>
    <t>O&amp;M(%/yr)</t>
  </si>
  <si>
    <t>분석기간(년)</t>
  </si>
  <si>
    <t>CO2계수(t/MWh)</t>
  </si>
  <si>
    <t>배출권가(원/t)</t>
  </si>
  <si>
    <t>지역</t>
  </si>
  <si>
    <t>FC가용시간(h)</t>
  </si>
  <si>
    <t>FC가용률(%)</t>
  </si>
  <si>
    <t>PUE_baseline</t>
  </si>
  <si>
    <t>PUE_FC</t>
  </si>
  <si>
    <t>냉각전력_baseline(MWh)</t>
  </si>
  <si>
    <t>연간절감전력(MWh)</t>
  </si>
  <si>
    <t>절감률(%)</t>
  </si>
  <si>
    <t>춘천</t>
  </si>
  <si>
    <t>구미</t>
  </si>
  <si>
    <t>세종</t>
  </si>
  <si>
    <t>울산</t>
  </si>
  <si>
    <t>해남</t>
  </si>
  <si>
    <t>연간절감액(억)</t>
  </si>
  <si>
    <t>NPV(억)</t>
  </si>
  <si>
    <t>IRR(%)</t>
  </si>
  <si>
    <t>단순회수(년)</t>
  </si>
  <si>
    <t>할인회수(년)</t>
  </si>
  <si>
    <t>B/C</t>
  </si>
  <si>
    <t>LCOE_saved(원/kWh)</t>
  </si>
  <si>
    <t>연간 CO2절감(t)</t>
  </si>
  <si>
    <t>20년 누적 CO2(t)</t>
  </si>
  <si>
    <t>탄소가치_연(억)</t>
  </si>
  <si>
    <t>승용차 등가(대)</t>
  </si>
  <si>
    <t>나무 등가(그루)</t>
  </si>
  <si>
    <t>3.0%</t>
  </si>
  <si>
    <t>4.5%</t>
  </si>
  <si>
    <t>8.0%</t>
  </si>
  <si>
    <t>3%</t>
  </si>
  <si>
    <t>7%</t>
  </si>
  <si>
    <t>연차</t>
  </si>
  <si>
    <t>누적절감액(억)</t>
  </si>
  <si>
    <t>연간 전기요금 상승률 g</t>
    <phoneticPr fontId="2" type="noConversion"/>
  </si>
  <si>
    <t>할인율 - 민간 사업주 WACC r</t>
    <phoneticPr fontId="2" type="noConversion"/>
  </si>
  <si>
    <t>g / r (억원)</t>
    <phoneticPr fontId="2" type="noConversion"/>
  </si>
  <si>
    <t>(단위 : 억원)</t>
    <phoneticPr fontId="2" type="noConversion"/>
  </si>
  <si>
    <t>대상 지역  : 춘천 (FC 가용률 가장 높은 지역)</t>
    <phoneticPr fontId="2" type="noConversion"/>
  </si>
  <si>
    <t>가로 r, 세로 g (r 6.5%, g 5%가 기준)</t>
    <phoneticPr fontId="2" type="noConversion"/>
  </si>
  <si>
    <r>
      <t xml:space="preserve">전체 건설비의 </t>
    </r>
    <r>
      <rPr>
        <b/>
        <sz val="11"/>
        <color theme="1"/>
        <rFont val="맑은 고딕"/>
        <family val="3"/>
        <charset val="129"/>
        <scheme val="minor"/>
      </rPr>
      <t>0.7% 추가 투자</t>
    </r>
    <r>
      <rPr>
        <sz val="11"/>
        <color theme="1"/>
        <rFont val="맑은 고딕"/>
        <family val="2"/>
        <scheme val="minor"/>
      </rPr>
      <t>로 20년간 수백억원 운영비 절감 + Scope 2 CO₂ 수천 톤 절감</t>
    </r>
  </si>
  <si>
    <t>비용 산출 근거</t>
    <phoneticPr fontId="2" type="noConversion"/>
  </si>
  <si>
    <t>40MW 데이터센터 전체 건설비 규모</t>
  </si>
  <si>
    <t xml:space="preserve"> 1,070만 달러/MW</t>
    <phoneticPr fontId="2" type="noConversion"/>
  </si>
  <si>
    <t>AI 인프라 기술 fit-out</t>
    <phoneticPr fontId="2" type="noConversion"/>
  </si>
  <si>
    <t>MW당 최대 2,500만 달러</t>
    <phoneticPr fontId="2" type="noConversion"/>
  </si>
  <si>
    <t>shell &amp; core만</t>
    <phoneticPr fontId="2" type="noConversion"/>
  </si>
  <si>
    <t xml:space="preserve"> 6,600억원</t>
    <phoneticPr fontId="2" type="noConversion"/>
  </si>
  <si>
    <t>서버 등 IT 장비 포함 전체</t>
    <phoneticPr fontId="2" type="noConversion"/>
  </si>
  <si>
    <t xml:space="preserve"> 1.3조~2조원 수준</t>
    <phoneticPr fontId="2" type="noConversion"/>
  </si>
  <si>
    <t>kwh 당 전력 절감비용</t>
    <phoneticPr fontId="2" type="noConversion"/>
  </si>
  <si>
    <t>무조건 평균 단가 (115원) 보다 작아야 이득</t>
    <phoneticPr fontId="2" type="noConversion"/>
  </si>
  <si>
    <t>수치가 좋게 나오는 핵심적인 원인</t>
    <phoneticPr fontId="2" type="noConversion"/>
  </si>
  <si>
    <t xml:space="preserve">1. 전기단가 상승률 </t>
    <phoneticPr fontId="2" type="noConversion"/>
  </si>
  <si>
    <t>상승률이 다 이득으로 고려되어 좋게 보임</t>
    <phoneticPr fontId="2" type="noConversion"/>
  </si>
  <si>
    <t>2. 교체 비용 누락</t>
    <phoneticPr fontId="2" type="noConversion"/>
  </si>
  <si>
    <t xml:space="preserve">10년차에 재투자 리스크 있음 </t>
    <phoneticPr fontId="2" type="noConversion"/>
  </si>
  <si>
    <t>연간 전기요금 상승률 5%</t>
    <phoneticPr fontId="2" type="noConversion"/>
  </si>
  <si>
    <t>할인율 6.5% 기준</t>
    <phoneticPr fontId="2" type="noConversion"/>
  </si>
  <si>
    <r>
      <t>최근 10년 산업용 전기요금 트렌드(</t>
    </r>
    <r>
      <rPr>
        <sz val="11"/>
        <color theme="1"/>
        <rFont val="Arial"/>
        <family val="2"/>
      </rPr>
      <t>7.2\%/yr</t>
    </r>
    <r>
      <rPr>
        <sz val="11"/>
        <color theme="1"/>
        <rFont val="맑은 고딕"/>
        <family val="2"/>
        <scheme val="minor"/>
      </rPr>
      <t>)에서 보수적 반영</t>
    </r>
    <phoneticPr fontId="2" type="noConversion"/>
  </si>
  <si>
    <t>1MW 당 데이터센터 건설비용</t>
    <phoneticPr fontId="2" type="noConversion"/>
  </si>
  <si>
    <t>https://www.jll.com/en-us/insights/market-outlook/data-center-outlook</t>
    <phoneticPr fontId="2" type="noConversion"/>
  </si>
  <si>
    <t>한계점</t>
    <phoneticPr fontId="2" type="noConversion"/>
  </si>
  <si>
    <t>Free Cooling을 도입함으로서 사라지는 기회 (ex) 추가적인 공간 점유로 인해 없어지는 새로운 기회 - gpu 설치량 증설 등)의 효과는 정량적 분석 불가</t>
    <phoneticPr fontId="2" type="noConversion"/>
  </si>
  <si>
    <t>산업용(을) 고압A 경부하 115원/kWh 기준</t>
    <phoneticPr fontId="2" type="noConversion"/>
  </si>
  <si>
    <t>판형 열교환기 (PHE 평균 수명)</t>
    <phoneticPr fontId="2" type="noConversion"/>
  </si>
  <si>
    <t>NPV 분석을 통한 핵심 결론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</si>
</sst>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3" xfId="1" applyBorder="1" applyAlignment="1"/>
    <xf numFmtId="0" fontId="0" fillId="0" borderId="1" xfId="0" applyBorder="1"/>
    <xf numFmtId="0" fontId="6" fillId="0" borderId="0" xfId="2"/>
    <xf numFmtId="0" fontId="0" fillId="0" borderId="6" xfId="0" applyBorder="1"/>
    <xf numFmtId="0" fontId="0" fillId="0" borderId="7" xfId="0" applyBorder="1"/>
    <xf numFmtId="9" fontId="0" fillId="0" borderId="7" xfId="0" applyNumberFormat="1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3" fillId="2" borderId="4" xfId="1" applyBorder="1" applyAlignment="1">
      <alignment horizontal="center" vertical="top"/>
    </xf>
    <xf numFmtId="0" fontId="3" fillId="2" borderId="5" xfId="1" applyBorder="1" applyAlignment="1">
      <alignment horizontal="center" vertical="top"/>
    </xf>
    <xf numFmtId="0" fontId="4" fillId="0" borderId="0" xfId="0" applyFont="1"/>
  </cellXfs>
  <cellStyles count="3">
    <cellStyle name="좋음" xfId="1" builtinId="2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춘천</a:t>
            </a:r>
            <a:r>
              <a:rPr lang="en-US" altLang="ko-KR"/>
              <a:t>_</a:t>
            </a:r>
            <a:r>
              <a:rPr lang="ko-KR" altLang="en-US"/>
              <a:t>연간 절감액 및 누적 절감액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누적_춘천!$B$1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누적_춘천!$A$2:$A$31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누적_춘천!$B$2:$B$31</c:f>
              <c:numCache>
                <c:formatCode>General</c:formatCode>
                <c:ptCount val="30"/>
                <c:pt idx="0">
                  <c:v>18.75</c:v>
                </c:pt>
                <c:pt idx="1">
                  <c:v>19.68</c:v>
                </c:pt>
                <c:pt idx="2">
                  <c:v>20.67</c:v>
                </c:pt>
                <c:pt idx="3">
                  <c:v>21.7</c:v>
                </c:pt>
                <c:pt idx="4">
                  <c:v>22.79</c:v>
                </c:pt>
                <c:pt idx="5">
                  <c:v>23.93</c:v>
                </c:pt>
                <c:pt idx="6">
                  <c:v>25.12</c:v>
                </c:pt>
                <c:pt idx="7">
                  <c:v>26.38</c:v>
                </c:pt>
                <c:pt idx="8">
                  <c:v>27.7</c:v>
                </c:pt>
                <c:pt idx="9">
                  <c:v>29.08</c:v>
                </c:pt>
                <c:pt idx="10">
                  <c:v>30.54</c:v>
                </c:pt>
                <c:pt idx="11">
                  <c:v>32.06</c:v>
                </c:pt>
                <c:pt idx="12">
                  <c:v>33.67</c:v>
                </c:pt>
                <c:pt idx="13">
                  <c:v>35.35</c:v>
                </c:pt>
                <c:pt idx="14">
                  <c:v>37.119999999999997</c:v>
                </c:pt>
                <c:pt idx="15">
                  <c:v>38.97</c:v>
                </c:pt>
                <c:pt idx="16">
                  <c:v>40.92</c:v>
                </c:pt>
                <c:pt idx="17">
                  <c:v>42.97</c:v>
                </c:pt>
                <c:pt idx="18">
                  <c:v>45.12</c:v>
                </c:pt>
                <c:pt idx="19">
                  <c:v>47.37</c:v>
                </c:pt>
                <c:pt idx="20">
                  <c:v>49.74</c:v>
                </c:pt>
                <c:pt idx="21">
                  <c:v>52.23</c:v>
                </c:pt>
                <c:pt idx="22">
                  <c:v>54.84</c:v>
                </c:pt>
                <c:pt idx="23">
                  <c:v>57.58</c:v>
                </c:pt>
                <c:pt idx="24">
                  <c:v>60.46</c:v>
                </c:pt>
                <c:pt idx="25">
                  <c:v>63.49</c:v>
                </c:pt>
                <c:pt idx="26">
                  <c:v>66.66</c:v>
                </c:pt>
                <c:pt idx="27">
                  <c:v>69.989999999999995</c:v>
                </c:pt>
                <c:pt idx="28">
                  <c:v>73.489999999999995</c:v>
                </c:pt>
                <c:pt idx="29">
                  <c:v>77.17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1C2-8BD3-40CF30A0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1983"/>
        <c:axId val="5253503"/>
      </c:barChart>
      <c:lineChart>
        <c:grouping val="standard"/>
        <c:varyColors val="0"/>
        <c:ser>
          <c:idx val="1"/>
          <c:order val="1"/>
          <c:tx>
            <c:strRef>
              <c:f>누적_춘천!$C$1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누적_춘천!$C$2:$C$31</c:f>
              <c:numCache>
                <c:formatCode>General</c:formatCode>
                <c:ptCount val="30"/>
                <c:pt idx="0">
                  <c:v>18.7</c:v>
                </c:pt>
                <c:pt idx="1">
                  <c:v>38.4</c:v>
                </c:pt>
                <c:pt idx="2">
                  <c:v>59.1</c:v>
                </c:pt>
                <c:pt idx="3">
                  <c:v>80.8</c:v>
                </c:pt>
                <c:pt idx="4">
                  <c:v>103.6</c:v>
                </c:pt>
                <c:pt idx="5">
                  <c:v>127.5</c:v>
                </c:pt>
                <c:pt idx="6">
                  <c:v>152.6</c:v>
                </c:pt>
                <c:pt idx="7">
                  <c:v>179</c:v>
                </c:pt>
                <c:pt idx="8">
                  <c:v>206.7</c:v>
                </c:pt>
                <c:pt idx="9">
                  <c:v>235.8</c:v>
                </c:pt>
                <c:pt idx="10">
                  <c:v>266.3</c:v>
                </c:pt>
                <c:pt idx="11">
                  <c:v>298.39999999999998</c:v>
                </c:pt>
                <c:pt idx="12">
                  <c:v>332.1</c:v>
                </c:pt>
                <c:pt idx="13">
                  <c:v>367.4</c:v>
                </c:pt>
                <c:pt idx="14">
                  <c:v>404.5</c:v>
                </c:pt>
                <c:pt idx="15">
                  <c:v>443.5</c:v>
                </c:pt>
                <c:pt idx="16">
                  <c:v>484.4</c:v>
                </c:pt>
                <c:pt idx="17">
                  <c:v>527.4</c:v>
                </c:pt>
                <c:pt idx="18">
                  <c:v>572.5</c:v>
                </c:pt>
                <c:pt idx="19">
                  <c:v>619.9</c:v>
                </c:pt>
                <c:pt idx="20">
                  <c:v>669.6</c:v>
                </c:pt>
                <c:pt idx="21">
                  <c:v>721.9</c:v>
                </c:pt>
                <c:pt idx="22">
                  <c:v>776.7</c:v>
                </c:pt>
                <c:pt idx="23">
                  <c:v>834.3</c:v>
                </c:pt>
                <c:pt idx="24">
                  <c:v>894.8</c:v>
                </c:pt>
                <c:pt idx="25">
                  <c:v>958.2</c:v>
                </c:pt>
                <c:pt idx="26">
                  <c:v>1024.9000000000001</c:v>
                </c:pt>
                <c:pt idx="27">
                  <c:v>1094.9000000000001</c:v>
                </c:pt>
                <c:pt idx="28">
                  <c:v>1168.4000000000001</c:v>
                </c:pt>
                <c:pt idx="29">
                  <c:v>1245.5999999999999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F-41C2-8BD3-40CF30A0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7663"/>
        <c:axId val="5170943"/>
      </c:lineChart>
      <c:catAx>
        <c:axId val="5241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단위 </a:t>
                </a:r>
                <a:r>
                  <a:rPr lang="en-US" altLang="ko-KR"/>
                  <a:t>: </a:t>
                </a:r>
                <a:r>
                  <a:rPr lang="ko-KR" altLang="en-US"/>
                  <a:t>년차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53503"/>
        <c:crosses val="autoZero"/>
        <c:auto val="1"/>
        <c:lblAlgn val="ctr"/>
        <c:lblOffset val="100"/>
        <c:noMultiLvlLbl val="0"/>
      </c:catAx>
      <c:valAx>
        <c:axId val="525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단위 </a:t>
                </a:r>
                <a:r>
                  <a:rPr lang="en-US" altLang="ko-KR"/>
                  <a:t>: </a:t>
                </a:r>
                <a:r>
                  <a:rPr lang="ko-KR" altLang="en-US"/>
                  <a:t>억원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1983"/>
        <c:crosses val="autoZero"/>
        <c:crossBetween val="between"/>
      </c:valAx>
      <c:valAx>
        <c:axId val="5170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단위 </a:t>
                </a:r>
                <a:r>
                  <a:rPr lang="en-US" altLang="ko-KR"/>
                  <a:t>:</a:t>
                </a:r>
                <a:r>
                  <a:rPr lang="ko-KR" altLang="en-US" baseline="0"/>
                  <a:t> 억원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77663"/>
        <c:crosses val="max"/>
        <c:crossBetween val="between"/>
      </c:valAx>
      <c:catAx>
        <c:axId val="5177663"/>
        <c:scaling>
          <c:orientation val="minMax"/>
        </c:scaling>
        <c:delete val="1"/>
        <c:axPos val="b"/>
        <c:majorTickMark val="out"/>
        <c:minorTickMark val="none"/>
        <c:tickLblPos val="nextTo"/>
        <c:crossAx val="5170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구미</a:t>
            </a:r>
            <a:r>
              <a:rPr lang="en-US" altLang="ko-KR"/>
              <a:t>_</a:t>
            </a:r>
            <a:r>
              <a:rPr lang="ko-KR" altLang="en-US"/>
              <a:t>연간 절감액 및 누적 절감액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누적_구미!$B$1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누적_구미!$B$2:$B$31</c:f>
              <c:numCache>
                <c:formatCode>General</c:formatCode>
                <c:ptCount val="30"/>
                <c:pt idx="0">
                  <c:v>17.98</c:v>
                </c:pt>
                <c:pt idx="1">
                  <c:v>18.88</c:v>
                </c:pt>
                <c:pt idx="2">
                  <c:v>19.82</c:v>
                </c:pt>
                <c:pt idx="3">
                  <c:v>20.81</c:v>
                </c:pt>
                <c:pt idx="4">
                  <c:v>21.85</c:v>
                </c:pt>
                <c:pt idx="5">
                  <c:v>22.95</c:v>
                </c:pt>
                <c:pt idx="6">
                  <c:v>24.09</c:v>
                </c:pt>
                <c:pt idx="7">
                  <c:v>25.3</c:v>
                </c:pt>
                <c:pt idx="8">
                  <c:v>26.56</c:v>
                </c:pt>
                <c:pt idx="9">
                  <c:v>27.89</c:v>
                </c:pt>
                <c:pt idx="10">
                  <c:v>29.29</c:v>
                </c:pt>
                <c:pt idx="11">
                  <c:v>30.75</c:v>
                </c:pt>
                <c:pt idx="12">
                  <c:v>32.29</c:v>
                </c:pt>
                <c:pt idx="13">
                  <c:v>33.9</c:v>
                </c:pt>
                <c:pt idx="14">
                  <c:v>35.6</c:v>
                </c:pt>
                <c:pt idx="15">
                  <c:v>37.380000000000003</c:v>
                </c:pt>
                <c:pt idx="16">
                  <c:v>39.24</c:v>
                </c:pt>
                <c:pt idx="17">
                  <c:v>41.21</c:v>
                </c:pt>
                <c:pt idx="18">
                  <c:v>43.27</c:v>
                </c:pt>
                <c:pt idx="19">
                  <c:v>45.43</c:v>
                </c:pt>
                <c:pt idx="20">
                  <c:v>47.7</c:v>
                </c:pt>
                <c:pt idx="21">
                  <c:v>50.09</c:v>
                </c:pt>
                <c:pt idx="22">
                  <c:v>52.59</c:v>
                </c:pt>
                <c:pt idx="23">
                  <c:v>55.22</c:v>
                </c:pt>
                <c:pt idx="24">
                  <c:v>57.98</c:v>
                </c:pt>
                <c:pt idx="25">
                  <c:v>60.88</c:v>
                </c:pt>
                <c:pt idx="26">
                  <c:v>63.93</c:v>
                </c:pt>
                <c:pt idx="27">
                  <c:v>67.12</c:v>
                </c:pt>
                <c:pt idx="28">
                  <c:v>70.48</c:v>
                </c:pt>
                <c:pt idx="2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5-4684-9EA2-AB43E2548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91"/>
        <c:axId val="171631"/>
      </c:barChart>
      <c:lineChart>
        <c:grouping val="standard"/>
        <c:varyColors val="0"/>
        <c:ser>
          <c:idx val="1"/>
          <c:order val="1"/>
          <c:tx>
            <c:strRef>
              <c:f>누적_구미!$C$1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누적_구미!$C$2:$C$31</c:f>
              <c:numCache>
                <c:formatCode>General</c:formatCode>
                <c:ptCount val="30"/>
                <c:pt idx="0">
                  <c:v>18</c:v>
                </c:pt>
                <c:pt idx="1">
                  <c:v>36.9</c:v>
                </c:pt>
                <c:pt idx="2">
                  <c:v>56.7</c:v>
                </c:pt>
                <c:pt idx="3">
                  <c:v>77.5</c:v>
                </c:pt>
                <c:pt idx="4">
                  <c:v>99.3</c:v>
                </c:pt>
                <c:pt idx="5">
                  <c:v>122.3</c:v>
                </c:pt>
                <c:pt idx="6">
                  <c:v>146.4</c:v>
                </c:pt>
                <c:pt idx="7">
                  <c:v>171.7</c:v>
                </c:pt>
                <c:pt idx="8">
                  <c:v>198.2</c:v>
                </c:pt>
                <c:pt idx="9">
                  <c:v>226.1</c:v>
                </c:pt>
                <c:pt idx="10">
                  <c:v>255.4</c:v>
                </c:pt>
                <c:pt idx="11">
                  <c:v>286.2</c:v>
                </c:pt>
                <c:pt idx="12">
                  <c:v>318.5</c:v>
                </c:pt>
                <c:pt idx="13">
                  <c:v>352.4</c:v>
                </c:pt>
                <c:pt idx="14">
                  <c:v>388</c:v>
                </c:pt>
                <c:pt idx="15">
                  <c:v>425.3</c:v>
                </c:pt>
                <c:pt idx="16">
                  <c:v>464.6</c:v>
                </c:pt>
                <c:pt idx="17">
                  <c:v>505.8</c:v>
                </c:pt>
                <c:pt idx="18">
                  <c:v>549</c:v>
                </c:pt>
                <c:pt idx="19">
                  <c:v>594.5</c:v>
                </c:pt>
                <c:pt idx="20">
                  <c:v>642.20000000000005</c:v>
                </c:pt>
                <c:pt idx="21">
                  <c:v>692.3</c:v>
                </c:pt>
                <c:pt idx="22">
                  <c:v>744.9</c:v>
                </c:pt>
                <c:pt idx="23">
                  <c:v>800.1</c:v>
                </c:pt>
                <c:pt idx="24">
                  <c:v>858.1</c:v>
                </c:pt>
                <c:pt idx="25">
                  <c:v>918.9</c:v>
                </c:pt>
                <c:pt idx="26">
                  <c:v>982.9</c:v>
                </c:pt>
                <c:pt idx="27">
                  <c:v>1050</c:v>
                </c:pt>
                <c:pt idx="28">
                  <c:v>1120.5</c:v>
                </c:pt>
                <c:pt idx="29">
                  <c:v>1194.5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5-4684-9EA2-AB43E2548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1"/>
        <c:axId val="168271"/>
      </c:lineChart>
      <c:catAx>
        <c:axId val="170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1631"/>
        <c:crosses val="autoZero"/>
        <c:auto val="1"/>
        <c:lblAlgn val="ctr"/>
        <c:lblOffset val="100"/>
        <c:noMultiLvlLbl val="0"/>
      </c:catAx>
      <c:valAx>
        <c:axId val="1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191"/>
        <c:crosses val="autoZero"/>
        <c:crossBetween val="between"/>
      </c:valAx>
      <c:valAx>
        <c:axId val="1682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111"/>
        <c:crosses val="max"/>
        <c:crossBetween val="between"/>
      </c:valAx>
      <c:catAx>
        <c:axId val="172111"/>
        <c:scaling>
          <c:orientation val="minMax"/>
        </c:scaling>
        <c:delete val="1"/>
        <c:axPos val="b"/>
        <c:majorTickMark val="out"/>
        <c:minorTickMark val="none"/>
        <c:tickLblPos val="nextTo"/>
        <c:crossAx val="168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세종</a:t>
            </a:r>
            <a:r>
              <a:rPr lang="en-US" altLang="ko-KR"/>
              <a:t>_</a:t>
            </a:r>
            <a:r>
              <a:rPr lang="ko-KR" altLang="en-US"/>
              <a:t>연간 절감액 및 누적 절감액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누적_세종!$B$1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누적_세종!$B$2:$B$31</c:f>
              <c:numCache>
                <c:formatCode>General</c:formatCode>
                <c:ptCount val="30"/>
                <c:pt idx="0">
                  <c:v>17.850000000000001</c:v>
                </c:pt>
                <c:pt idx="1">
                  <c:v>18.739999999999998</c:v>
                </c:pt>
                <c:pt idx="2">
                  <c:v>19.68</c:v>
                </c:pt>
                <c:pt idx="3">
                  <c:v>20.66</c:v>
                </c:pt>
                <c:pt idx="4">
                  <c:v>21.69</c:v>
                </c:pt>
                <c:pt idx="5">
                  <c:v>22.78</c:v>
                </c:pt>
                <c:pt idx="6">
                  <c:v>23.92</c:v>
                </c:pt>
                <c:pt idx="7">
                  <c:v>25.11</c:v>
                </c:pt>
                <c:pt idx="8">
                  <c:v>26.37</c:v>
                </c:pt>
                <c:pt idx="9">
                  <c:v>27.69</c:v>
                </c:pt>
                <c:pt idx="10">
                  <c:v>29.07</c:v>
                </c:pt>
                <c:pt idx="11">
                  <c:v>30.52</c:v>
                </c:pt>
                <c:pt idx="12">
                  <c:v>32.049999999999997</c:v>
                </c:pt>
                <c:pt idx="13">
                  <c:v>33.65</c:v>
                </c:pt>
                <c:pt idx="14">
                  <c:v>35.340000000000003</c:v>
                </c:pt>
                <c:pt idx="15">
                  <c:v>37.1</c:v>
                </c:pt>
                <c:pt idx="16">
                  <c:v>38.96</c:v>
                </c:pt>
                <c:pt idx="17">
                  <c:v>40.909999999999997</c:v>
                </c:pt>
                <c:pt idx="18">
                  <c:v>42.95</c:v>
                </c:pt>
                <c:pt idx="19">
                  <c:v>45.1</c:v>
                </c:pt>
                <c:pt idx="20">
                  <c:v>47.35</c:v>
                </c:pt>
                <c:pt idx="21">
                  <c:v>49.72</c:v>
                </c:pt>
                <c:pt idx="22">
                  <c:v>52.21</c:v>
                </c:pt>
                <c:pt idx="23">
                  <c:v>54.82</c:v>
                </c:pt>
                <c:pt idx="24">
                  <c:v>57.56</c:v>
                </c:pt>
                <c:pt idx="25">
                  <c:v>60.44</c:v>
                </c:pt>
                <c:pt idx="26">
                  <c:v>63.46</c:v>
                </c:pt>
                <c:pt idx="27">
                  <c:v>66.63</c:v>
                </c:pt>
                <c:pt idx="28">
                  <c:v>69.959999999999994</c:v>
                </c:pt>
                <c:pt idx="29">
                  <c:v>73.459999999999994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6-4B54-AEAE-DB76FD872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5343"/>
        <c:axId val="5234783"/>
      </c:barChart>
      <c:lineChart>
        <c:grouping val="standard"/>
        <c:varyColors val="0"/>
        <c:ser>
          <c:idx val="1"/>
          <c:order val="1"/>
          <c:tx>
            <c:strRef>
              <c:f>누적_세종!$C$1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누적_세종!$C$2:$C$31</c:f>
              <c:numCache>
                <c:formatCode>General</c:formatCode>
                <c:ptCount val="30"/>
                <c:pt idx="0">
                  <c:v>17.8</c:v>
                </c:pt>
                <c:pt idx="1">
                  <c:v>36.6</c:v>
                </c:pt>
                <c:pt idx="2">
                  <c:v>56.3</c:v>
                </c:pt>
                <c:pt idx="3">
                  <c:v>76.900000000000006</c:v>
                </c:pt>
                <c:pt idx="4">
                  <c:v>98.6</c:v>
                </c:pt>
                <c:pt idx="5">
                  <c:v>121.4</c:v>
                </c:pt>
                <c:pt idx="6">
                  <c:v>145.30000000000001</c:v>
                </c:pt>
                <c:pt idx="7">
                  <c:v>170.4</c:v>
                </c:pt>
                <c:pt idx="8">
                  <c:v>196.8</c:v>
                </c:pt>
                <c:pt idx="9">
                  <c:v>224.5</c:v>
                </c:pt>
                <c:pt idx="10">
                  <c:v>253.5</c:v>
                </c:pt>
                <c:pt idx="11">
                  <c:v>284.10000000000002</c:v>
                </c:pt>
                <c:pt idx="12">
                  <c:v>316.10000000000002</c:v>
                </c:pt>
                <c:pt idx="13">
                  <c:v>349.8</c:v>
                </c:pt>
                <c:pt idx="14">
                  <c:v>385.1</c:v>
                </c:pt>
                <c:pt idx="15">
                  <c:v>422.2</c:v>
                </c:pt>
                <c:pt idx="16">
                  <c:v>461.2</c:v>
                </c:pt>
                <c:pt idx="17">
                  <c:v>502.1</c:v>
                </c:pt>
                <c:pt idx="18">
                  <c:v>545</c:v>
                </c:pt>
                <c:pt idx="19">
                  <c:v>590.1</c:v>
                </c:pt>
                <c:pt idx="20">
                  <c:v>637.5</c:v>
                </c:pt>
                <c:pt idx="21">
                  <c:v>687.2</c:v>
                </c:pt>
                <c:pt idx="22">
                  <c:v>739.4</c:v>
                </c:pt>
                <c:pt idx="23">
                  <c:v>794.2</c:v>
                </c:pt>
                <c:pt idx="24">
                  <c:v>851.8</c:v>
                </c:pt>
                <c:pt idx="25">
                  <c:v>912.2</c:v>
                </c:pt>
                <c:pt idx="26">
                  <c:v>975.7</c:v>
                </c:pt>
                <c:pt idx="27">
                  <c:v>1042.3</c:v>
                </c:pt>
                <c:pt idx="28">
                  <c:v>1112.3</c:v>
                </c:pt>
                <c:pt idx="29">
                  <c:v>1185.7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6-4B54-AEAE-DB76FD872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383"/>
        <c:axId val="5258303"/>
      </c:lineChart>
      <c:catAx>
        <c:axId val="524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34783"/>
        <c:crosses val="autoZero"/>
        <c:auto val="1"/>
        <c:lblAlgn val="ctr"/>
        <c:lblOffset val="100"/>
        <c:noMultiLvlLbl val="0"/>
      </c:catAx>
      <c:valAx>
        <c:axId val="52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45343"/>
        <c:crosses val="autoZero"/>
        <c:crossBetween val="between"/>
      </c:valAx>
      <c:valAx>
        <c:axId val="5258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56383"/>
        <c:crosses val="max"/>
        <c:crossBetween val="between"/>
      </c:valAx>
      <c:catAx>
        <c:axId val="5256383"/>
        <c:scaling>
          <c:orientation val="minMax"/>
        </c:scaling>
        <c:delete val="1"/>
        <c:axPos val="b"/>
        <c:majorTickMark val="out"/>
        <c:minorTickMark val="none"/>
        <c:tickLblPos val="nextTo"/>
        <c:crossAx val="5258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울산</a:t>
            </a:r>
            <a:r>
              <a:rPr lang="en-US" altLang="ko-KR"/>
              <a:t>_</a:t>
            </a:r>
            <a:r>
              <a:rPr lang="ko-KR" altLang="en-US"/>
              <a:t>연간 절감액 및 누적 절감액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누적_울산!$B$1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누적_울산!$B$2:$B$31</c:f>
              <c:numCache>
                <c:formatCode>General</c:formatCode>
                <c:ptCount val="30"/>
                <c:pt idx="0">
                  <c:v>16.670000000000002</c:v>
                </c:pt>
                <c:pt idx="1">
                  <c:v>17.5</c:v>
                </c:pt>
                <c:pt idx="2">
                  <c:v>18.38</c:v>
                </c:pt>
                <c:pt idx="3">
                  <c:v>19.3</c:v>
                </c:pt>
                <c:pt idx="4">
                  <c:v>20.260000000000002</c:v>
                </c:pt>
                <c:pt idx="5">
                  <c:v>21.27</c:v>
                </c:pt>
                <c:pt idx="6">
                  <c:v>22.34</c:v>
                </c:pt>
                <c:pt idx="7">
                  <c:v>23.46</c:v>
                </c:pt>
                <c:pt idx="8">
                  <c:v>24.63</c:v>
                </c:pt>
                <c:pt idx="9">
                  <c:v>25.86</c:v>
                </c:pt>
                <c:pt idx="10">
                  <c:v>27.15</c:v>
                </c:pt>
                <c:pt idx="11">
                  <c:v>28.51</c:v>
                </c:pt>
                <c:pt idx="12">
                  <c:v>29.94</c:v>
                </c:pt>
                <c:pt idx="13">
                  <c:v>31.43</c:v>
                </c:pt>
                <c:pt idx="14">
                  <c:v>33</c:v>
                </c:pt>
                <c:pt idx="15">
                  <c:v>34.65</c:v>
                </c:pt>
                <c:pt idx="16">
                  <c:v>36.39</c:v>
                </c:pt>
                <c:pt idx="17">
                  <c:v>38.21</c:v>
                </c:pt>
                <c:pt idx="18">
                  <c:v>40.119999999999997</c:v>
                </c:pt>
                <c:pt idx="19">
                  <c:v>42.12</c:v>
                </c:pt>
                <c:pt idx="20">
                  <c:v>44.23</c:v>
                </c:pt>
                <c:pt idx="21">
                  <c:v>46.44</c:v>
                </c:pt>
                <c:pt idx="22">
                  <c:v>48.76</c:v>
                </c:pt>
                <c:pt idx="23">
                  <c:v>51.2</c:v>
                </c:pt>
                <c:pt idx="24">
                  <c:v>53.76</c:v>
                </c:pt>
                <c:pt idx="25">
                  <c:v>56.45</c:v>
                </c:pt>
                <c:pt idx="26">
                  <c:v>59.27</c:v>
                </c:pt>
                <c:pt idx="27">
                  <c:v>62.23</c:v>
                </c:pt>
                <c:pt idx="28">
                  <c:v>65.349999999999994</c:v>
                </c:pt>
                <c:pt idx="29">
                  <c:v>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E-4A59-B9E5-EE4F22DC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9343"/>
        <c:axId val="5203103"/>
      </c:barChart>
      <c:lineChart>
        <c:grouping val="standard"/>
        <c:varyColors val="0"/>
        <c:ser>
          <c:idx val="1"/>
          <c:order val="1"/>
          <c:tx>
            <c:strRef>
              <c:f>누적_울산!$C$1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누적_울산!$C$2:$C$31</c:f>
              <c:numCache>
                <c:formatCode>General</c:formatCode>
                <c:ptCount val="30"/>
                <c:pt idx="0">
                  <c:v>16.7</c:v>
                </c:pt>
                <c:pt idx="1">
                  <c:v>34.200000000000003</c:v>
                </c:pt>
                <c:pt idx="2">
                  <c:v>52.5</c:v>
                </c:pt>
                <c:pt idx="3">
                  <c:v>71.8</c:v>
                </c:pt>
                <c:pt idx="4">
                  <c:v>92.1</c:v>
                </c:pt>
                <c:pt idx="5">
                  <c:v>113.4</c:v>
                </c:pt>
                <c:pt idx="6">
                  <c:v>135.69999999999999</c:v>
                </c:pt>
                <c:pt idx="7">
                  <c:v>159.19999999999999</c:v>
                </c:pt>
                <c:pt idx="8">
                  <c:v>183.8</c:v>
                </c:pt>
                <c:pt idx="9">
                  <c:v>209.7</c:v>
                </c:pt>
                <c:pt idx="10">
                  <c:v>236.8</c:v>
                </c:pt>
                <c:pt idx="11">
                  <c:v>265.3</c:v>
                </c:pt>
                <c:pt idx="12">
                  <c:v>295.3</c:v>
                </c:pt>
                <c:pt idx="13">
                  <c:v>326.7</c:v>
                </c:pt>
                <c:pt idx="14">
                  <c:v>359.7</c:v>
                </c:pt>
                <c:pt idx="15">
                  <c:v>394.4</c:v>
                </c:pt>
                <c:pt idx="16">
                  <c:v>430.7</c:v>
                </c:pt>
                <c:pt idx="17">
                  <c:v>468.9</c:v>
                </c:pt>
                <c:pt idx="18">
                  <c:v>509.1</c:v>
                </c:pt>
                <c:pt idx="19">
                  <c:v>551.20000000000005</c:v>
                </c:pt>
                <c:pt idx="20">
                  <c:v>595.4</c:v>
                </c:pt>
                <c:pt idx="21">
                  <c:v>641.9</c:v>
                </c:pt>
                <c:pt idx="22">
                  <c:v>690.6</c:v>
                </c:pt>
                <c:pt idx="23">
                  <c:v>741.8</c:v>
                </c:pt>
                <c:pt idx="24">
                  <c:v>795.6</c:v>
                </c:pt>
                <c:pt idx="25">
                  <c:v>852</c:v>
                </c:pt>
                <c:pt idx="26">
                  <c:v>911.3</c:v>
                </c:pt>
                <c:pt idx="27">
                  <c:v>973.5</c:v>
                </c:pt>
                <c:pt idx="28">
                  <c:v>1038.9000000000001</c:v>
                </c:pt>
                <c:pt idx="29">
                  <c:v>1107.5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E-4A59-B9E5-EE4F22DC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2623"/>
        <c:axId val="5204543"/>
      </c:lineChart>
      <c:catAx>
        <c:axId val="5202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04543"/>
        <c:crosses val="autoZero"/>
        <c:auto val="1"/>
        <c:lblAlgn val="ctr"/>
        <c:lblOffset val="100"/>
        <c:noMultiLvlLbl val="0"/>
      </c:catAx>
      <c:valAx>
        <c:axId val="52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02623"/>
        <c:crosses val="autoZero"/>
        <c:crossBetween val="between"/>
      </c:valAx>
      <c:valAx>
        <c:axId val="52031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09343"/>
        <c:crosses val="max"/>
        <c:crossBetween val="between"/>
      </c:valAx>
      <c:catAx>
        <c:axId val="5209343"/>
        <c:scaling>
          <c:orientation val="minMax"/>
        </c:scaling>
        <c:delete val="1"/>
        <c:axPos val="b"/>
        <c:majorTickMark val="out"/>
        <c:minorTickMark val="none"/>
        <c:tickLblPos val="nextTo"/>
        <c:crossAx val="5203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해남</a:t>
            </a:r>
            <a:r>
              <a:rPr lang="en-US" altLang="ko-KR"/>
              <a:t>_</a:t>
            </a:r>
            <a:r>
              <a:rPr lang="ko-KR" altLang="en-US"/>
              <a:t>연간 절감액 및 누적 절감액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누적_해남!$B$1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누적_해남!$B$2:$B$31</c:f>
              <c:numCache>
                <c:formatCode>General</c:formatCode>
                <c:ptCount val="30"/>
                <c:pt idx="0">
                  <c:v>16.38</c:v>
                </c:pt>
                <c:pt idx="1">
                  <c:v>17.2</c:v>
                </c:pt>
                <c:pt idx="2">
                  <c:v>18.05</c:v>
                </c:pt>
                <c:pt idx="3">
                  <c:v>18.96</c:v>
                </c:pt>
                <c:pt idx="4">
                  <c:v>19.91</c:v>
                </c:pt>
                <c:pt idx="5">
                  <c:v>20.9</c:v>
                </c:pt>
                <c:pt idx="6">
                  <c:v>21.95</c:v>
                </c:pt>
                <c:pt idx="7">
                  <c:v>23.04</c:v>
                </c:pt>
                <c:pt idx="8">
                  <c:v>24.2</c:v>
                </c:pt>
                <c:pt idx="9">
                  <c:v>25.41</c:v>
                </c:pt>
                <c:pt idx="10">
                  <c:v>26.68</c:v>
                </c:pt>
                <c:pt idx="11">
                  <c:v>28.01</c:v>
                </c:pt>
                <c:pt idx="12">
                  <c:v>29.41</c:v>
                </c:pt>
                <c:pt idx="13">
                  <c:v>30.88</c:v>
                </c:pt>
                <c:pt idx="14">
                  <c:v>32.42</c:v>
                </c:pt>
                <c:pt idx="15">
                  <c:v>34.049999999999997</c:v>
                </c:pt>
                <c:pt idx="16">
                  <c:v>35.75</c:v>
                </c:pt>
                <c:pt idx="17">
                  <c:v>37.54</c:v>
                </c:pt>
                <c:pt idx="18">
                  <c:v>39.409999999999997</c:v>
                </c:pt>
                <c:pt idx="19">
                  <c:v>41.38</c:v>
                </c:pt>
                <c:pt idx="20">
                  <c:v>43.45</c:v>
                </c:pt>
                <c:pt idx="21">
                  <c:v>45.62</c:v>
                </c:pt>
                <c:pt idx="22">
                  <c:v>47.91</c:v>
                </c:pt>
                <c:pt idx="23">
                  <c:v>50.3</c:v>
                </c:pt>
                <c:pt idx="24">
                  <c:v>52.82</c:v>
                </c:pt>
                <c:pt idx="25">
                  <c:v>55.46</c:v>
                </c:pt>
                <c:pt idx="26">
                  <c:v>58.23</c:v>
                </c:pt>
                <c:pt idx="27">
                  <c:v>61.14</c:v>
                </c:pt>
                <c:pt idx="28">
                  <c:v>64.2</c:v>
                </c:pt>
                <c:pt idx="29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F-4811-855C-AE82FD7B0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71"/>
        <c:axId val="148111"/>
      </c:barChart>
      <c:lineChart>
        <c:grouping val="standard"/>
        <c:varyColors val="0"/>
        <c:ser>
          <c:idx val="1"/>
          <c:order val="1"/>
          <c:tx>
            <c:strRef>
              <c:f>누적_해남!$C$1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누적_해남!$C$2:$C$31</c:f>
              <c:numCache>
                <c:formatCode>General</c:formatCode>
                <c:ptCount val="30"/>
                <c:pt idx="0">
                  <c:v>16.399999999999999</c:v>
                </c:pt>
                <c:pt idx="1">
                  <c:v>33.6</c:v>
                </c:pt>
                <c:pt idx="2">
                  <c:v>51.6</c:v>
                </c:pt>
                <c:pt idx="3">
                  <c:v>70.599999999999994</c:v>
                </c:pt>
                <c:pt idx="4">
                  <c:v>90.5</c:v>
                </c:pt>
                <c:pt idx="5">
                  <c:v>111.4</c:v>
                </c:pt>
                <c:pt idx="6">
                  <c:v>133.30000000000001</c:v>
                </c:pt>
                <c:pt idx="7">
                  <c:v>156.4</c:v>
                </c:pt>
                <c:pt idx="8">
                  <c:v>180.6</c:v>
                </c:pt>
                <c:pt idx="9">
                  <c:v>206</c:v>
                </c:pt>
                <c:pt idx="10">
                  <c:v>232.7</c:v>
                </c:pt>
                <c:pt idx="11">
                  <c:v>260.7</c:v>
                </c:pt>
                <c:pt idx="12">
                  <c:v>290.10000000000002</c:v>
                </c:pt>
                <c:pt idx="13">
                  <c:v>321</c:v>
                </c:pt>
                <c:pt idx="14">
                  <c:v>353.4</c:v>
                </c:pt>
                <c:pt idx="15">
                  <c:v>387.4</c:v>
                </c:pt>
                <c:pt idx="16">
                  <c:v>423.2</c:v>
                </c:pt>
                <c:pt idx="17">
                  <c:v>460.7</c:v>
                </c:pt>
                <c:pt idx="18">
                  <c:v>500.1</c:v>
                </c:pt>
                <c:pt idx="19">
                  <c:v>541.5</c:v>
                </c:pt>
                <c:pt idx="20">
                  <c:v>585</c:v>
                </c:pt>
                <c:pt idx="21">
                  <c:v>630.6</c:v>
                </c:pt>
                <c:pt idx="22">
                  <c:v>678.5</c:v>
                </c:pt>
                <c:pt idx="23">
                  <c:v>728.8</c:v>
                </c:pt>
                <c:pt idx="24">
                  <c:v>781.6</c:v>
                </c:pt>
                <c:pt idx="25">
                  <c:v>837.1</c:v>
                </c:pt>
                <c:pt idx="26">
                  <c:v>895.3</c:v>
                </c:pt>
                <c:pt idx="27">
                  <c:v>956.4</c:v>
                </c:pt>
                <c:pt idx="28">
                  <c:v>1020.6</c:v>
                </c:pt>
                <c:pt idx="29">
                  <c:v>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F-4811-855C-AE82FD7B0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91"/>
        <c:axId val="141391"/>
      </c:lineChart>
      <c:catAx>
        <c:axId val="148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391"/>
        <c:crosses val="autoZero"/>
        <c:auto val="1"/>
        <c:lblAlgn val="ctr"/>
        <c:lblOffset val="100"/>
        <c:noMultiLvlLbl val="0"/>
      </c:catAx>
      <c:valAx>
        <c:axId val="14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591"/>
        <c:crosses val="autoZero"/>
        <c:crossBetween val="between"/>
      </c:valAx>
      <c:valAx>
        <c:axId val="148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871"/>
        <c:crosses val="max"/>
        <c:crossBetween val="between"/>
      </c:valAx>
      <c:catAx>
        <c:axId val="141871"/>
        <c:scaling>
          <c:orientation val="minMax"/>
        </c:scaling>
        <c:delete val="1"/>
        <c:axPos val="b"/>
        <c:majorTickMark val="out"/>
        <c:minorTickMark val="none"/>
        <c:tickLblPos val="nextTo"/>
        <c:crossAx val="148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8702392437512882E-2"/>
          <c:y val="1.0745562246852315E-2"/>
          <c:w val="0.92377088387336148"/>
          <c:h val="0.82336963763631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누적_해남!$B$1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누적_해남!$B$2:$B$31</c:f>
              <c:numCache>
                <c:formatCode>General</c:formatCode>
                <c:ptCount val="30"/>
                <c:pt idx="0">
                  <c:v>16.38</c:v>
                </c:pt>
                <c:pt idx="1">
                  <c:v>17.2</c:v>
                </c:pt>
                <c:pt idx="2">
                  <c:v>18.05</c:v>
                </c:pt>
                <c:pt idx="3">
                  <c:v>18.96</c:v>
                </c:pt>
                <c:pt idx="4">
                  <c:v>19.91</c:v>
                </c:pt>
                <c:pt idx="5">
                  <c:v>20.9</c:v>
                </c:pt>
                <c:pt idx="6">
                  <c:v>21.95</c:v>
                </c:pt>
                <c:pt idx="7">
                  <c:v>23.04</c:v>
                </c:pt>
                <c:pt idx="8">
                  <c:v>24.2</c:v>
                </c:pt>
                <c:pt idx="9">
                  <c:v>25.41</c:v>
                </c:pt>
                <c:pt idx="10">
                  <c:v>26.68</c:v>
                </c:pt>
                <c:pt idx="11">
                  <c:v>28.01</c:v>
                </c:pt>
                <c:pt idx="12">
                  <c:v>29.41</c:v>
                </c:pt>
                <c:pt idx="13">
                  <c:v>30.88</c:v>
                </c:pt>
                <c:pt idx="14">
                  <c:v>32.42</c:v>
                </c:pt>
                <c:pt idx="15">
                  <c:v>34.049999999999997</c:v>
                </c:pt>
                <c:pt idx="16">
                  <c:v>35.75</c:v>
                </c:pt>
                <c:pt idx="17">
                  <c:v>37.54</c:v>
                </c:pt>
                <c:pt idx="18">
                  <c:v>39.409999999999997</c:v>
                </c:pt>
                <c:pt idx="19">
                  <c:v>41.38</c:v>
                </c:pt>
                <c:pt idx="20">
                  <c:v>43.45</c:v>
                </c:pt>
                <c:pt idx="21">
                  <c:v>45.62</c:v>
                </c:pt>
                <c:pt idx="22">
                  <c:v>47.91</c:v>
                </c:pt>
                <c:pt idx="23">
                  <c:v>50.3</c:v>
                </c:pt>
                <c:pt idx="24">
                  <c:v>52.82</c:v>
                </c:pt>
                <c:pt idx="25">
                  <c:v>55.46</c:v>
                </c:pt>
                <c:pt idx="26">
                  <c:v>58.23</c:v>
                </c:pt>
                <c:pt idx="27">
                  <c:v>61.14</c:v>
                </c:pt>
                <c:pt idx="28">
                  <c:v>64.2</c:v>
                </c:pt>
                <c:pt idx="29">
                  <c:v>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6-4F3F-A109-239A714B4ECF}"/>
            </c:ext>
          </c:extLst>
        </c:ser>
        <c:ser>
          <c:idx val="2"/>
          <c:order val="2"/>
          <c:tx>
            <c:strRef>
              <c:f>누적_해남!$D$1</c:f>
              <c:strCache>
                <c:ptCount val="1"/>
                <c:pt idx="0">
                  <c:v>연간절감액(억)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누적_해남!$D$2:$D$31</c:f>
              <c:numCache>
                <c:formatCode>General</c:formatCode>
                <c:ptCount val="30"/>
                <c:pt idx="0">
                  <c:v>18.75</c:v>
                </c:pt>
                <c:pt idx="1">
                  <c:v>19.68</c:v>
                </c:pt>
                <c:pt idx="2">
                  <c:v>20.67</c:v>
                </c:pt>
                <c:pt idx="3">
                  <c:v>21.7</c:v>
                </c:pt>
                <c:pt idx="4">
                  <c:v>22.79</c:v>
                </c:pt>
                <c:pt idx="5">
                  <c:v>23.93</c:v>
                </c:pt>
                <c:pt idx="6">
                  <c:v>25.12</c:v>
                </c:pt>
                <c:pt idx="7">
                  <c:v>26.38</c:v>
                </c:pt>
                <c:pt idx="8">
                  <c:v>27.7</c:v>
                </c:pt>
                <c:pt idx="9">
                  <c:v>29.08</c:v>
                </c:pt>
                <c:pt idx="10">
                  <c:v>30.54</c:v>
                </c:pt>
                <c:pt idx="11">
                  <c:v>32.06</c:v>
                </c:pt>
                <c:pt idx="12">
                  <c:v>33.67</c:v>
                </c:pt>
                <c:pt idx="13">
                  <c:v>35.35</c:v>
                </c:pt>
                <c:pt idx="14">
                  <c:v>37.119999999999997</c:v>
                </c:pt>
                <c:pt idx="15">
                  <c:v>38.97</c:v>
                </c:pt>
                <c:pt idx="16">
                  <c:v>40.92</c:v>
                </c:pt>
                <c:pt idx="17">
                  <c:v>42.97</c:v>
                </c:pt>
                <c:pt idx="18">
                  <c:v>45.12</c:v>
                </c:pt>
                <c:pt idx="19">
                  <c:v>47.37</c:v>
                </c:pt>
                <c:pt idx="20">
                  <c:v>49.74</c:v>
                </c:pt>
                <c:pt idx="21">
                  <c:v>52.23</c:v>
                </c:pt>
                <c:pt idx="22">
                  <c:v>54.84</c:v>
                </c:pt>
                <c:pt idx="23">
                  <c:v>57.58</c:v>
                </c:pt>
                <c:pt idx="24">
                  <c:v>60.46</c:v>
                </c:pt>
                <c:pt idx="25">
                  <c:v>63.49</c:v>
                </c:pt>
                <c:pt idx="26">
                  <c:v>66.66</c:v>
                </c:pt>
                <c:pt idx="27">
                  <c:v>69.989999999999995</c:v>
                </c:pt>
                <c:pt idx="28">
                  <c:v>73.489999999999995</c:v>
                </c:pt>
                <c:pt idx="29">
                  <c:v>77.17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46-4F3F-A109-239A714B4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6177503"/>
        <c:axId val="1516172223"/>
      </c:barChart>
      <c:lineChart>
        <c:grouping val="standard"/>
        <c:varyColors val="0"/>
        <c:ser>
          <c:idx val="1"/>
          <c:order val="1"/>
          <c:tx>
            <c:strRef>
              <c:f>누적_해남!$C$1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누적_해남!$C$2:$C$31</c:f>
              <c:numCache>
                <c:formatCode>General</c:formatCode>
                <c:ptCount val="30"/>
                <c:pt idx="0">
                  <c:v>16.399999999999999</c:v>
                </c:pt>
                <c:pt idx="1">
                  <c:v>33.6</c:v>
                </c:pt>
                <c:pt idx="2">
                  <c:v>51.6</c:v>
                </c:pt>
                <c:pt idx="3">
                  <c:v>70.599999999999994</c:v>
                </c:pt>
                <c:pt idx="4">
                  <c:v>90.5</c:v>
                </c:pt>
                <c:pt idx="5">
                  <c:v>111.4</c:v>
                </c:pt>
                <c:pt idx="6">
                  <c:v>133.30000000000001</c:v>
                </c:pt>
                <c:pt idx="7">
                  <c:v>156.4</c:v>
                </c:pt>
                <c:pt idx="8">
                  <c:v>180.6</c:v>
                </c:pt>
                <c:pt idx="9">
                  <c:v>206</c:v>
                </c:pt>
                <c:pt idx="10">
                  <c:v>232.7</c:v>
                </c:pt>
                <c:pt idx="11">
                  <c:v>260.7</c:v>
                </c:pt>
                <c:pt idx="12">
                  <c:v>290.10000000000002</c:v>
                </c:pt>
                <c:pt idx="13">
                  <c:v>321</c:v>
                </c:pt>
                <c:pt idx="14">
                  <c:v>353.4</c:v>
                </c:pt>
                <c:pt idx="15">
                  <c:v>387.4</c:v>
                </c:pt>
                <c:pt idx="16">
                  <c:v>423.2</c:v>
                </c:pt>
                <c:pt idx="17">
                  <c:v>460.7</c:v>
                </c:pt>
                <c:pt idx="18">
                  <c:v>500.1</c:v>
                </c:pt>
                <c:pt idx="19">
                  <c:v>541.5</c:v>
                </c:pt>
                <c:pt idx="20">
                  <c:v>585</c:v>
                </c:pt>
                <c:pt idx="21">
                  <c:v>630.6</c:v>
                </c:pt>
                <c:pt idx="22">
                  <c:v>678.5</c:v>
                </c:pt>
                <c:pt idx="23">
                  <c:v>728.8</c:v>
                </c:pt>
                <c:pt idx="24">
                  <c:v>781.6</c:v>
                </c:pt>
                <c:pt idx="25">
                  <c:v>837.1</c:v>
                </c:pt>
                <c:pt idx="26">
                  <c:v>895.3</c:v>
                </c:pt>
                <c:pt idx="27">
                  <c:v>956.4</c:v>
                </c:pt>
                <c:pt idx="28">
                  <c:v>1020.6</c:v>
                </c:pt>
                <c:pt idx="29">
                  <c:v>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6-4F3F-A109-239A714B4ECF}"/>
            </c:ext>
          </c:extLst>
        </c:ser>
        <c:ser>
          <c:idx val="3"/>
          <c:order val="3"/>
          <c:tx>
            <c:strRef>
              <c:f>누적_해남!$E$1</c:f>
              <c:strCache>
                <c:ptCount val="1"/>
                <c:pt idx="0">
                  <c:v>누적절감액(억)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누적_해남!$E$2:$E$31</c:f>
              <c:numCache>
                <c:formatCode>General</c:formatCode>
                <c:ptCount val="30"/>
                <c:pt idx="0">
                  <c:v>18.7</c:v>
                </c:pt>
                <c:pt idx="1">
                  <c:v>38.4</c:v>
                </c:pt>
                <c:pt idx="2">
                  <c:v>59.1</c:v>
                </c:pt>
                <c:pt idx="3">
                  <c:v>80.8</c:v>
                </c:pt>
                <c:pt idx="4">
                  <c:v>103.6</c:v>
                </c:pt>
                <c:pt idx="5">
                  <c:v>127.5</c:v>
                </c:pt>
                <c:pt idx="6">
                  <c:v>152.6</c:v>
                </c:pt>
                <c:pt idx="7">
                  <c:v>179</c:v>
                </c:pt>
                <c:pt idx="8">
                  <c:v>206.7</c:v>
                </c:pt>
                <c:pt idx="9">
                  <c:v>235.8</c:v>
                </c:pt>
                <c:pt idx="10">
                  <c:v>266.3</c:v>
                </c:pt>
                <c:pt idx="11">
                  <c:v>298.39999999999998</c:v>
                </c:pt>
                <c:pt idx="12">
                  <c:v>332.1</c:v>
                </c:pt>
                <c:pt idx="13">
                  <c:v>367.4</c:v>
                </c:pt>
                <c:pt idx="14">
                  <c:v>404.5</c:v>
                </c:pt>
                <c:pt idx="15">
                  <c:v>443.5</c:v>
                </c:pt>
                <c:pt idx="16">
                  <c:v>484.4</c:v>
                </c:pt>
                <c:pt idx="17">
                  <c:v>527.4</c:v>
                </c:pt>
                <c:pt idx="18">
                  <c:v>572.5</c:v>
                </c:pt>
                <c:pt idx="19">
                  <c:v>619.9</c:v>
                </c:pt>
                <c:pt idx="20">
                  <c:v>669.6</c:v>
                </c:pt>
                <c:pt idx="21">
                  <c:v>721.9</c:v>
                </c:pt>
                <c:pt idx="22">
                  <c:v>776.7</c:v>
                </c:pt>
                <c:pt idx="23">
                  <c:v>834.3</c:v>
                </c:pt>
                <c:pt idx="24">
                  <c:v>894.8</c:v>
                </c:pt>
                <c:pt idx="25">
                  <c:v>958.2</c:v>
                </c:pt>
                <c:pt idx="26">
                  <c:v>1024.9000000000001</c:v>
                </c:pt>
                <c:pt idx="27">
                  <c:v>1094.9000000000001</c:v>
                </c:pt>
                <c:pt idx="28">
                  <c:v>1168.4000000000001</c:v>
                </c:pt>
                <c:pt idx="29">
                  <c:v>1245.5999999999999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46-4F3F-A109-239A714B4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164063"/>
        <c:axId val="1516178943"/>
      </c:lineChart>
      <c:catAx>
        <c:axId val="151617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6172223"/>
        <c:crosses val="autoZero"/>
        <c:auto val="1"/>
        <c:lblAlgn val="ctr"/>
        <c:lblOffset val="100"/>
        <c:noMultiLvlLbl val="0"/>
      </c:catAx>
      <c:valAx>
        <c:axId val="15161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6177503"/>
        <c:crosses val="autoZero"/>
        <c:crossBetween val="between"/>
      </c:valAx>
      <c:valAx>
        <c:axId val="15161789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6164063"/>
        <c:crosses val="max"/>
        <c:crossBetween val="between"/>
      </c:valAx>
      <c:catAx>
        <c:axId val="1516164063"/>
        <c:scaling>
          <c:orientation val="minMax"/>
        </c:scaling>
        <c:delete val="1"/>
        <c:axPos val="b"/>
        <c:majorTickMark val="out"/>
        <c:minorTickMark val="none"/>
        <c:tickLblPos val="nextTo"/>
        <c:crossAx val="1516178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376237</xdr:colOff>
      <xdr:row>6</xdr:row>
      <xdr:rowOff>0</xdr:rowOff>
    </xdr:from>
    <xdr:to>
      <xdr:col>12</xdr:col>
      <xdr:colOff>76200</xdr:colOff>
      <xdr:row>23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9C6FE88-B231-BFD5-E85A-279361467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</xdr:row>
      <xdr:rowOff>95250</xdr:rowOff>
    </xdr:from>
    <xdr:to>
      <xdr:col>13</xdr:col>
      <xdr:colOff>561975</xdr:colOff>
      <xdr:row>20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22B0BD1-3B18-C268-E81E-CF3775D65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1352549</xdr:colOff>
      <xdr:row>5</xdr:row>
      <xdr:rowOff>152400</xdr:rowOff>
    </xdr:from>
    <xdr:to>
      <xdr:col>8</xdr:col>
      <xdr:colOff>1190625</xdr:colOff>
      <xdr:row>29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345ACFF-188F-3DCE-DF4E-D9F01221B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8</xdr:row>
      <xdr:rowOff>19050</xdr:rowOff>
    </xdr:from>
    <xdr:to>
      <xdr:col>8</xdr:col>
      <xdr:colOff>409575</xdr:colOff>
      <xdr:row>24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97B1D9D-5873-2574-4730-529B99AE0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1457325</xdr:colOff>
      <xdr:row>5</xdr:row>
      <xdr:rowOff>152400</xdr:rowOff>
    </xdr:from>
    <xdr:to>
      <xdr:col>9</xdr:col>
      <xdr:colOff>1181100</xdr:colOff>
      <xdr:row>23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45F7D9-75F4-2B4E-F9C0-8C0864FDE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969819</xdr:colOff>
      <xdr:row>4</xdr:row>
      <xdr:rowOff>173181</xdr:rowOff>
    </xdr:from>
    <xdr:to>
      <xdr:col>22</xdr:col>
      <xdr:colOff>623455</xdr:colOff>
      <xdr:row>34</xdr:row>
      <xdr:rowOff>155863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AB3744D-21F1-0BAB-B3BB-057EF321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ll.com/en-us/insights/market-outlook/data-center-outloo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B17" sqref="B17"/>
    </sheetView>
  </sheetViews>
  <sheetFormatPr defaultRowHeight="16.5" x14ac:dyDescent="0.3"/>
  <cols>
    <col min="1" max="1" width="28.5" customWidth="1"/>
    <col min="2" max="2" width="26.25" customWidth="1"/>
    <col min="3" max="3" width="45.25" customWidth="1"/>
  </cols>
  <sheetData>
    <row r="1" spans="1:3" x14ac:dyDescent="0.3">
      <c r="A1" s="12" t="s">
        <v>0</v>
      </c>
      <c r="B1" s="13" t="s">
        <v>1</v>
      </c>
    </row>
    <row r="2" spans="1:3" x14ac:dyDescent="0.3">
      <c r="A2" s="6" t="s">
        <v>2</v>
      </c>
      <c r="B2" s="7" t="s">
        <v>3</v>
      </c>
    </row>
    <row r="3" spans="1:3" x14ac:dyDescent="0.3">
      <c r="A3" s="6" t="s">
        <v>4</v>
      </c>
      <c r="B3" s="7" t="s">
        <v>5</v>
      </c>
    </row>
    <row r="4" spans="1:3" x14ac:dyDescent="0.3">
      <c r="A4" s="6" t="s">
        <v>6</v>
      </c>
      <c r="B4" s="7">
        <v>115</v>
      </c>
      <c r="C4" t="s">
        <v>76</v>
      </c>
    </row>
    <row r="5" spans="1:3" x14ac:dyDescent="0.3">
      <c r="A5" s="6" t="s">
        <v>46</v>
      </c>
      <c r="B5" s="8">
        <v>0.05</v>
      </c>
      <c r="C5" t="s">
        <v>71</v>
      </c>
    </row>
    <row r="6" spans="1:3" x14ac:dyDescent="0.3">
      <c r="A6" s="6" t="s">
        <v>47</v>
      </c>
      <c r="B6" s="9">
        <v>6.5000000000000002E-2</v>
      </c>
    </row>
    <row r="7" spans="1:3" x14ac:dyDescent="0.3">
      <c r="A7" s="6" t="s">
        <v>9</v>
      </c>
      <c r="B7" s="7">
        <v>48.1</v>
      </c>
    </row>
    <row r="8" spans="1:3" x14ac:dyDescent="0.3">
      <c r="A8" s="6" t="s">
        <v>10</v>
      </c>
      <c r="B8" s="7">
        <v>1.5</v>
      </c>
    </row>
    <row r="9" spans="1:3" x14ac:dyDescent="0.3">
      <c r="A9" s="6" t="s">
        <v>11</v>
      </c>
      <c r="B9" s="7">
        <v>20</v>
      </c>
      <c r="C9" t="s">
        <v>77</v>
      </c>
    </row>
    <row r="10" spans="1:3" x14ac:dyDescent="0.3">
      <c r="A10" s="6" t="s">
        <v>12</v>
      </c>
      <c r="B10" s="7">
        <v>0.4541</v>
      </c>
    </row>
    <row r="11" spans="1:3" ht="17.25" thickBot="1" x14ac:dyDescent="0.35">
      <c r="A11" s="10" t="s">
        <v>13</v>
      </c>
      <c r="B11" s="11">
        <v>16000</v>
      </c>
    </row>
    <row r="17" spans="2:2" x14ac:dyDescent="0.3">
      <c r="B17">
        <f>15576*115*1.05</f>
        <v>1880802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opLeftCell="D1" workbookViewId="0">
      <selection activeCell="A35" sqref="A35"/>
    </sheetView>
  </sheetViews>
  <sheetFormatPr defaultRowHeight="16.5" x14ac:dyDescent="0.3"/>
  <cols>
    <col min="1" max="9" width="20.625" customWidth="1"/>
  </cols>
  <sheetData>
    <row r="1" spans="1:8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t="s">
        <v>22</v>
      </c>
      <c r="B2">
        <v>3821</v>
      </c>
      <c r="C2">
        <v>43.6</v>
      </c>
      <c r="D2">
        <v>1.1819</v>
      </c>
      <c r="E2">
        <v>1.1354</v>
      </c>
      <c r="F2">
        <v>63749.8</v>
      </c>
      <c r="G2">
        <v>16302.1</v>
      </c>
      <c r="H2">
        <v>25.6</v>
      </c>
    </row>
    <row r="3" spans="1:8" x14ac:dyDescent="0.3">
      <c r="A3" t="s">
        <v>23</v>
      </c>
      <c r="B3">
        <v>3620</v>
      </c>
      <c r="C3">
        <v>41.3</v>
      </c>
      <c r="D3">
        <v>1.1848000000000001</v>
      </c>
      <c r="E3">
        <v>1.1402000000000001</v>
      </c>
      <c r="F3">
        <v>64751.6</v>
      </c>
      <c r="G3">
        <v>15633.5</v>
      </c>
      <c r="H3">
        <v>24.1</v>
      </c>
    </row>
    <row r="4" spans="1:8" x14ac:dyDescent="0.3">
      <c r="A4" t="s">
        <v>24</v>
      </c>
      <c r="B4">
        <v>3589</v>
      </c>
      <c r="C4">
        <v>41</v>
      </c>
      <c r="D4">
        <v>1.1846000000000001</v>
      </c>
      <c r="E4">
        <v>1.1403000000000001</v>
      </c>
      <c r="F4">
        <v>64676.6</v>
      </c>
      <c r="G4">
        <v>15518.9</v>
      </c>
      <c r="H4">
        <v>24</v>
      </c>
    </row>
    <row r="5" spans="1:8" x14ac:dyDescent="0.3">
      <c r="A5" t="s">
        <v>25</v>
      </c>
      <c r="B5">
        <v>3331</v>
      </c>
      <c r="C5">
        <v>38</v>
      </c>
      <c r="D5">
        <v>1.1849000000000001</v>
      </c>
      <c r="E5">
        <v>1.1435</v>
      </c>
      <c r="F5">
        <v>64790.6</v>
      </c>
      <c r="G5">
        <v>14495</v>
      </c>
      <c r="H5">
        <v>22.4</v>
      </c>
    </row>
    <row r="6" spans="1:8" x14ac:dyDescent="0.3">
      <c r="A6" t="s">
        <v>26</v>
      </c>
      <c r="B6">
        <v>3243</v>
      </c>
      <c r="C6">
        <v>37</v>
      </c>
      <c r="D6">
        <v>1.1883999999999999</v>
      </c>
      <c r="E6">
        <v>1.1477999999999999</v>
      </c>
      <c r="F6">
        <v>66032.899999999994</v>
      </c>
      <c r="G6">
        <v>14240.4</v>
      </c>
      <c r="H6">
        <v>21.6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D7" sqref="D7"/>
    </sheetView>
  </sheetViews>
  <sheetFormatPr defaultRowHeight="16.5" x14ac:dyDescent="0.3"/>
  <cols>
    <col min="1" max="12" width="20.625" customWidth="1"/>
  </cols>
  <sheetData>
    <row r="1" spans="1:9" x14ac:dyDescent="0.3">
      <c r="A1" s="1" t="s">
        <v>14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9" x14ac:dyDescent="0.3">
      <c r="A2" t="s">
        <v>22</v>
      </c>
      <c r="B2">
        <v>18.75</v>
      </c>
      <c r="C2">
        <v>252.7</v>
      </c>
      <c r="D2">
        <v>42.6</v>
      </c>
      <c r="E2">
        <v>2.6</v>
      </c>
      <c r="F2">
        <v>2.9</v>
      </c>
      <c r="G2">
        <v>5.51</v>
      </c>
      <c r="H2">
        <v>31.2</v>
      </c>
    </row>
    <row r="3" spans="1:9" x14ac:dyDescent="0.3">
      <c r="A3" t="s">
        <v>23</v>
      </c>
      <c r="B3">
        <v>17.98</v>
      </c>
      <c r="C3">
        <v>240</v>
      </c>
      <c r="D3">
        <v>41</v>
      </c>
      <c r="E3">
        <v>2.7</v>
      </c>
      <c r="F3">
        <v>3</v>
      </c>
      <c r="G3">
        <v>5.28</v>
      </c>
      <c r="H3">
        <v>32.5</v>
      </c>
    </row>
    <row r="4" spans="1:9" x14ac:dyDescent="0.3">
      <c r="A4" t="s">
        <v>24</v>
      </c>
      <c r="B4">
        <v>17.850000000000001</v>
      </c>
      <c r="C4">
        <v>237.8</v>
      </c>
      <c r="D4">
        <v>40.700000000000003</v>
      </c>
      <c r="E4">
        <v>2.7</v>
      </c>
      <c r="F4">
        <v>3</v>
      </c>
      <c r="G4">
        <v>5.24</v>
      </c>
      <c r="H4">
        <v>32.799999999999997</v>
      </c>
    </row>
    <row r="5" spans="1:9" x14ac:dyDescent="0.3">
      <c r="A5" t="s">
        <v>25</v>
      </c>
      <c r="B5">
        <v>16.670000000000002</v>
      </c>
      <c r="C5">
        <v>218.4</v>
      </c>
      <c r="D5">
        <v>38.200000000000003</v>
      </c>
      <c r="E5">
        <v>2.9</v>
      </c>
      <c r="F5">
        <v>3.3</v>
      </c>
      <c r="G5">
        <v>4.9000000000000004</v>
      </c>
      <c r="H5">
        <v>35.1</v>
      </c>
    </row>
    <row r="6" spans="1:9" x14ac:dyDescent="0.3">
      <c r="A6" t="s">
        <v>26</v>
      </c>
      <c r="B6">
        <v>16.38</v>
      </c>
      <c r="C6">
        <v>213.6</v>
      </c>
      <c r="D6">
        <v>37.6</v>
      </c>
      <c r="E6">
        <v>2.9</v>
      </c>
      <c r="F6">
        <v>3.3</v>
      </c>
      <c r="G6">
        <v>4.8099999999999996</v>
      </c>
      <c r="H6">
        <v>35.700000000000003</v>
      </c>
    </row>
    <row r="7" spans="1:9" x14ac:dyDescent="0.3">
      <c r="H7" t="s">
        <v>62</v>
      </c>
    </row>
    <row r="8" spans="1:9" x14ac:dyDescent="0.3">
      <c r="H8" t="s">
        <v>63</v>
      </c>
    </row>
    <row r="11" spans="1:9" x14ac:dyDescent="0.3">
      <c r="H11" s="14" t="s">
        <v>64</v>
      </c>
    </row>
    <row r="12" spans="1:9" x14ac:dyDescent="0.3">
      <c r="H12" t="s">
        <v>65</v>
      </c>
      <c r="I12" t="s">
        <v>66</v>
      </c>
    </row>
    <row r="13" spans="1:9" x14ac:dyDescent="0.3">
      <c r="H13" t="s">
        <v>67</v>
      </c>
      <c r="I13" t="s">
        <v>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C3" sqref="C3"/>
    </sheetView>
  </sheetViews>
  <sheetFormatPr defaultRowHeight="16.5" x14ac:dyDescent="0.3"/>
  <cols>
    <col min="2" max="9" width="20.625" customWidth="1"/>
  </cols>
  <sheetData>
    <row r="1" spans="1:6" x14ac:dyDescent="0.3">
      <c r="A1" s="1" t="s">
        <v>14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3">
      <c r="A2" t="s">
        <v>22</v>
      </c>
      <c r="B2">
        <v>7403</v>
      </c>
      <c r="C2">
        <v>148056</v>
      </c>
      <c r="D2">
        <v>1.18</v>
      </c>
      <c r="E2">
        <v>3701</v>
      </c>
      <c r="F2">
        <v>1121635</v>
      </c>
    </row>
    <row r="3" spans="1:6" x14ac:dyDescent="0.3">
      <c r="A3" t="s">
        <v>23</v>
      </c>
      <c r="B3">
        <v>7099</v>
      </c>
      <c r="C3">
        <v>141984</v>
      </c>
      <c r="D3">
        <v>1.1399999999999999</v>
      </c>
      <c r="E3">
        <v>3550</v>
      </c>
      <c r="F3">
        <v>1075634</v>
      </c>
    </row>
    <row r="4" spans="1:6" x14ac:dyDescent="0.3">
      <c r="A4" t="s">
        <v>24</v>
      </c>
      <c r="B4">
        <v>7047</v>
      </c>
      <c r="C4">
        <v>140943</v>
      </c>
      <c r="D4">
        <v>1.1299999999999999</v>
      </c>
      <c r="E4">
        <v>3524</v>
      </c>
      <c r="F4">
        <v>1067749</v>
      </c>
    </row>
    <row r="5" spans="1:6" x14ac:dyDescent="0.3">
      <c r="A5" t="s">
        <v>25</v>
      </c>
      <c r="B5">
        <v>6582</v>
      </c>
      <c r="C5">
        <v>131644</v>
      </c>
      <c r="D5">
        <v>1.05</v>
      </c>
      <c r="E5">
        <v>3291</v>
      </c>
      <c r="F5">
        <v>997303</v>
      </c>
    </row>
    <row r="6" spans="1:6" x14ac:dyDescent="0.3">
      <c r="A6" t="s">
        <v>26</v>
      </c>
      <c r="B6">
        <v>6467</v>
      </c>
      <c r="C6">
        <v>129331</v>
      </c>
      <c r="D6">
        <v>1.03</v>
      </c>
      <c r="E6">
        <v>3233</v>
      </c>
      <c r="F6">
        <v>979780</v>
      </c>
    </row>
    <row r="9" spans="1:6" x14ac:dyDescent="0.3">
      <c r="C9">
        <f>B2*20</f>
        <v>148060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"/>
  <sheetViews>
    <sheetView topLeftCell="E1" zoomScale="85" zoomScaleNormal="85" workbookViewId="0">
      <selection activeCell="E11" sqref="E11"/>
    </sheetView>
  </sheetViews>
  <sheetFormatPr defaultRowHeight="16.5" x14ac:dyDescent="0.3"/>
  <cols>
    <col min="2" max="9" width="20.625" customWidth="1"/>
    <col min="10" max="10" width="22.125" customWidth="1"/>
    <col min="11" max="22" width="20.625" customWidth="1"/>
  </cols>
  <sheetData>
    <row r="1" spans="1:20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</row>
    <row r="2" spans="1:20" x14ac:dyDescent="0.3">
      <c r="A2" t="s">
        <v>22</v>
      </c>
      <c r="B2">
        <v>3821</v>
      </c>
      <c r="C2">
        <v>43.6</v>
      </c>
      <c r="D2">
        <v>1.1819</v>
      </c>
      <c r="E2">
        <v>1.1354</v>
      </c>
      <c r="F2">
        <v>63749.8</v>
      </c>
      <c r="G2">
        <v>16302.1</v>
      </c>
      <c r="H2">
        <v>25.6</v>
      </c>
      <c r="I2">
        <v>18.75</v>
      </c>
      <c r="J2">
        <v>252.7</v>
      </c>
      <c r="K2">
        <v>42.6</v>
      </c>
      <c r="L2">
        <v>2.6</v>
      </c>
      <c r="M2">
        <v>2.9</v>
      </c>
      <c r="N2">
        <v>5.51</v>
      </c>
      <c r="O2">
        <v>31.2</v>
      </c>
      <c r="P2">
        <v>7403</v>
      </c>
      <c r="Q2">
        <v>148056</v>
      </c>
      <c r="R2">
        <v>1.18</v>
      </c>
      <c r="S2">
        <v>3701</v>
      </c>
      <c r="T2">
        <v>1121635</v>
      </c>
    </row>
    <row r="3" spans="1:20" x14ac:dyDescent="0.3">
      <c r="A3" t="s">
        <v>23</v>
      </c>
      <c r="B3">
        <v>3620</v>
      </c>
      <c r="C3">
        <v>41.3</v>
      </c>
      <c r="D3">
        <v>1.1848000000000001</v>
      </c>
      <c r="E3">
        <v>1.1402000000000001</v>
      </c>
      <c r="F3">
        <v>64751.6</v>
      </c>
      <c r="G3">
        <v>15633.5</v>
      </c>
      <c r="H3">
        <v>24.1</v>
      </c>
      <c r="I3">
        <v>17.98</v>
      </c>
      <c r="J3">
        <v>240</v>
      </c>
      <c r="K3">
        <v>41</v>
      </c>
      <c r="L3">
        <v>2.7</v>
      </c>
      <c r="M3">
        <v>3</v>
      </c>
      <c r="N3">
        <v>5.28</v>
      </c>
      <c r="O3">
        <v>32.5</v>
      </c>
      <c r="P3">
        <v>7099</v>
      </c>
      <c r="Q3">
        <v>141984</v>
      </c>
      <c r="R3">
        <v>1.1399999999999999</v>
      </c>
      <c r="S3">
        <v>3550</v>
      </c>
      <c r="T3">
        <v>1075634</v>
      </c>
    </row>
    <row r="4" spans="1:20" x14ac:dyDescent="0.3">
      <c r="A4" t="s">
        <v>24</v>
      </c>
      <c r="B4">
        <v>3589</v>
      </c>
      <c r="C4">
        <v>41</v>
      </c>
      <c r="D4">
        <v>1.1846000000000001</v>
      </c>
      <c r="E4">
        <v>1.1403000000000001</v>
      </c>
      <c r="F4">
        <v>64676.6</v>
      </c>
      <c r="G4">
        <v>15518.9</v>
      </c>
      <c r="H4">
        <v>24</v>
      </c>
      <c r="I4">
        <v>17.850000000000001</v>
      </c>
      <c r="J4">
        <v>237.8</v>
      </c>
      <c r="K4">
        <v>40.700000000000003</v>
      </c>
      <c r="L4">
        <v>2.7</v>
      </c>
      <c r="M4">
        <v>3</v>
      </c>
      <c r="N4">
        <v>5.24</v>
      </c>
      <c r="O4">
        <v>32.799999999999997</v>
      </c>
      <c r="P4">
        <v>7047</v>
      </c>
      <c r="Q4">
        <v>140943</v>
      </c>
      <c r="R4">
        <v>1.1299999999999999</v>
      </c>
      <c r="S4">
        <v>3524</v>
      </c>
      <c r="T4">
        <v>1067749</v>
      </c>
    </row>
    <row r="5" spans="1:20" x14ac:dyDescent="0.3">
      <c r="A5" t="s">
        <v>25</v>
      </c>
      <c r="B5">
        <v>3331</v>
      </c>
      <c r="C5">
        <v>38</v>
      </c>
      <c r="D5">
        <v>1.1849000000000001</v>
      </c>
      <c r="E5">
        <v>1.1435</v>
      </c>
      <c r="F5">
        <v>64790.6</v>
      </c>
      <c r="G5">
        <v>14495</v>
      </c>
      <c r="H5">
        <v>22.4</v>
      </c>
      <c r="I5">
        <v>16.670000000000002</v>
      </c>
      <c r="J5">
        <v>218.4</v>
      </c>
      <c r="K5">
        <v>38.200000000000003</v>
      </c>
      <c r="L5">
        <v>2.9</v>
      </c>
      <c r="M5">
        <v>3.3</v>
      </c>
      <c r="N5">
        <v>4.9000000000000004</v>
      </c>
      <c r="O5">
        <v>35.1</v>
      </c>
      <c r="P5">
        <v>6582</v>
      </c>
      <c r="Q5">
        <v>131644</v>
      </c>
      <c r="R5">
        <v>1.05</v>
      </c>
      <c r="S5">
        <v>3291</v>
      </c>
      <c r="T5">
        <v>997303</v>
      </c>
    </row>
    <row r="6" spans="1:20" x14ac:dyDescent="0.3">
      <c r="A6" t="s">
        <v>26</v>
      </c>
      <c r="B6">
        <v>3243</v>
      </c>
      <c r="C6">
        <v>37</v>
      </c>
      <c r="D6">
        <v>1.1883999999999999</v>
      </c>
      <c r="E6">
        <v>1.1477999999999999</v>
      </c>
      <c r="F6">
        <v>66032.899999999994</v>
      </c>
      <c r="G6">
        <v>14240.4</v>
      </c>
      <c r="H6">
        <v>21.6</v>
      </c>
      <c r="I6">
        <v>16.38</v>
      </c>
      <c r="J6">
        <v>213.6</v>
      </c>
      <c r="K6">
        <v>37.6</v>
      </c>
      <c r="L6">
        <v>2.9</v>
      </c>
      <c r="M6">
        <v>3.3</v>
      </c>
      <c r="N6">
        <v>4.8099999999999996</v>
      </c>
      <c r="O6">
        <v>35.700000000000003</v>
      </c>
      <c r="P6">
        <v>6467</v>
      </c>
      <c r="Q6">
        <v>129331</v>
      </c>
      <c r="R6">
        <v>1.03</v>
      </c>
      <c r="S6">
        <v>3233</v>
      </c>
      <c r="T6">
        <v>979780</v>
      </c>
    </row>
    <row r="7" spans="1:20" x14ac:dyDescent="0.3">
      <c r="J7" t="s">
        <v>69</v>
      </c>
    </row>
    <row r="8" spans="1:20" x14ac:dyDescent="0.3">
      <c r="J8" t="s">
        <v>70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tabSelected="1" workbookViewId="0">
      <selection activeCell="F34" sqref="F34"/>
    </sheetView>
  </sheetViews>
  <sheetFormatPr defaultRowHeight="16.5" x14ac:dyDescent="0.3"/>
  <cols>
    <col min="1" max="1" width="24.375" customWidth="1"/>
    <col min="6" max="6" width="107.375" customWidth="1"/>
    <col min="7" max="7" width="42.125" customWidth="1"/>
    <col min="8" max="8" width="34.25" customWidth="1"/>
    <col min="9" max="9" width="32" customWidth="1"/>
  </cols>
  <sheetData>
    <row r="1" spans="1:6" x14ac:dyDescent="0.3">
      <c r="A1" s="1" t="s">
        <v>48</v>
      </c>
      <c r="B1" s="1" t="s">
        <v>39</v>
      </c>
      <c r="C1" s="1" t="s">
        <v>40</v>
      </c>
      <c r="D1" s="1" t="s">
        <v>8</v>
      </c>
      <c r="E1" s="1" t="s">
        <v>41</v>
      </c>
      <c r="F1" s="2" t="s">
        <v>47</v>
      </c>
    </row>
    <row r="2" spans="1:6" ht="17.25" thickBot="1" x14ac:dyDescent="0.35">
      <c r="A2" t="s">
        <v>42</v>
      </c>
      <c r="B2">
        <v>305.2</v>
      </c>
      <c r="C2">
        <v>256.39999999999998</v>
      </c>
      <c r="D2">
        <v>205</v>
      </c>
      <c r="E2">
        <v>174.5</v>
      </c>
    </row>
    <row r="3" spans="1:6" ht="17.25" thickBot="1" x14ac:dyDescent="0.35">
      <c r="A3" t="s">
        <v>7</v>
      </c>
      <c r="B3">
        <v>380.9</v>
      </c>
      <c r="C3">
        <v>318.10000000000002</v>
      </c>
      <c r="D3" s="3">
        <v>252.7</v>
      </c>
      <c r="E3">
        <v>214</v>
      </c>
    </row>
    <row r="4" spans="1:6" x14ac:dyDescent="0.3">
      <c r="A4" t="s">
        <v>43</v>
      </c>
      <c r="B4">
        <v>476.7</v>
      </c>
      <c r="C4">
        <v>395.9</v>
      </c>
      <c r="D4">
        <v>312.2</v>
      </c>
      <c r="E4">
        <v>263.10000000000002</v>
      </c>
    </row>
    <row r="5" spans="1:6" x14ac:dyDescent="0.3">
      <c r="A5" t="s">
        <v>46</v>
      </c>
      <c r="F5" t="s">
        <v>49</v>
      </c>
    </row>
    <row r="7" spans="1:6" x14ac:dyDescent="0.3">
      <c r="F7" t="s">
        <v>50</v>
      </c>
    </row>
    <row r="8" spans="1:6" x14ac:dyDescent="0.3">
      <c r="F8" t="s">
        <v>51</v>
      </c>
    </row>
    <row r="12" spans="1:6" x14ac:dyDescent="0.3">
      <c r="F12" s="14" t="s">
        <v>78</v>
      </c>
    </row>
    <row r="13" spans="1:6" x14ac:dyDescent="0.3">
      <c r="F13" t="s">
        <v>52</v>
      </c>
    </row>
    <row r="15" spans="1:6" x14ac:dyDescent="0.3">
      <c r="F15" t="s">
        <v>74</v>
      </c>
    </row>
    <row r="16" spans="1:6" x14ac:dyDescent="0.3">
      <c r="F16" t="s">
        <v>75</v>
      </c>
    </row>
    <row r="19" spans="6:7" x14ac:dyDescent="0.3">
      <c r="F19" t="s">
        <v>53</v>
      </c>
    </row>
    <row r="20" spans="6:7" x14ac:dyDescent="0.3">
      <c r="F20" t="s">
        <v>72</v>
      </c>
      <c r="G20" t="s">
        <v>55</v>
      </c>
    </row>
    <row r="21" spans="6:7" x14ac:dyDescent="0.3">
      <c r="F21" t="s">
        <v>56</v>
      </c>
      <c r="G21" t="s">
        <v>57</v>
      </c>
    </row>
    <row r="23" spans="6:7" x14ac:dyDescent="0.3">
      <c r="F23" s="4" t="s">
        <v>54</v>
      </c>
      <c r="G23" s="4"/>
    </row>
    <row r="24" spans="6:7" x14ac:dyDescent="0.3">
      <c r="F24" s="4" t="s">
        <v>58</v>
      </c>
      <c r="G24" s="4" t="s">
        <v>59</v>
      </c>
    </row>
    <row r="25" spans="6:7" x14ac:dyDescent="0.3">
      <c r="F25" s="4" t="s">
        <v>60</v>
      </c>
      <c r="G25" s="4" t="s">
        <v>61</v>
      </c>
    </row>
    <row r="26" spans="6:7" x14ac:dyDescent="0.3">
      <c r="G26" s="5" t="s">
        <v>73</v>
      </c>
    </row>
  </sheetData>
  <phoneticPr fontId="2" type="noConversion"/>
  <hyperlinks>
    <hyperlink ref="G26" r:id="rId1" xr:uid="{213E5508-754E-4ECE-AE79-94F3F341B3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"/>
  <sheetViews>
    <sheetView workbookViewId="0">
      <selection activeCell="B2" sqref="B2"/>
    </sheetView>
  </sheetViews>
  <sheetFormatPr defaultRowHeight="16.5" x14ac:dyDescent="0.3"/>
  <cols>
    <col min="1" max="5" width="20.625" customWidth="1"/>
  </cols>
  <sheetData>
    <row r="1" spans="1:4" x14ac:dyDescent="0.3">
      <c r="A1" s="1" t="s">
        <v>44</v>
      </c>
      <c r="B1" s="1" t="s">
        <v>27</v>
      </c>
      <c r="C1" s="1" t="s">
        <v>45</v>
      </c>
    </row>
    <row r="2" spans="1:4" x14ac:dyDescent="0.3">
      <c r="A2">
        <v>1</v>
      </c>
      <c r="B2">
        <v>18.75</v>
      </c>
      <c r="C2">
        <v>18.7</v>
      </c>
      <c r="D2">
        <f>B3/B2</f>
        <v>1.0496000000000001</v>
      </c>
    </row>
    <row r="3" spans="1:4" x14ac:dyDescent="0.3">
      <c r="A3">
        <v>2</v>
      </c>
      <c r="B3">
        <v>19.68</v>
      </c>
      <c r="C3">
        <v>38.4</v>
      </c>
    </row>
    <row r="4" spans="1:4" x14ac:dyDescent="0.3">
      <c r="A4">
        <v>3</v>
      </c>
      <c r="B4">
        <v>20.67</v>
      </c>
      <c r="C4">
        <v>59.1</v>
      </c>
    </row>
    <row r="5" spans="1:4" x14ac:dyDescent="0.3">
      <c r="A5">
        <v>4</v>
      </c>
      <c r="B5">
        <v>21.7</v>
      </c>
      <c r="C5">
        <v>80.8</v>
      </c>
    </row>
    <row r="6" spans="1:4" x14ac:dyDescent="0.3">
      <c r="A6">
        <v>5</v>
      </c>
      <c r="B6">
        <v>22.79</v>
      </c>
      <c r="C6">
        <v>103.6</v>
      </c>
    </row>
    <row r="7" spans="1:4" x14ac:dyDescent="0.3">
      <c r="A7">
        <v>6</v>
      </c>
      <c r="B7">
        <v>23.93</v>
      </c>
      <c r="C7">
        <v>127.5</v>
      </c>
    </row>
    <row r="8" spans="1:4" x14ac:dyDescent="0.3">
      <c r="A8">
        <v>7</v>
      </c>
      <c r="B8">
        <v>25.12</v>
      </c>
      <c r="C8">
        <v>152.6</v>
      </c>
    </row>
    <row r="9" spans="1:4" x14ac:dyDescent="0.3">
      <c r="A9">
        <v>8</v>
      </c>
      <c r="B9">
        <v>26.38</v>
      </c>
      <c r="C9">
        <v>179</v>
      </c>
    </row>
    <row r="10" spans="1:4" x14ac:dyDescent="0.3">
      <c r="A10">
        <v>9</v>
      </c>
      <c r="B10">
        <v>27.7</v>
      </c>
      <c r="C10">
        <v>206.7</v>
      </c>
    </row>
    <row r="11" spans="1:4" x14ac:dyDescent="0.3">
      <c r="A11">
        <v>10</v>
      </c>
      <c r="B11">
        <v>29.08</v>
      </c>
      <c r="C11">
        <v>235.8</v>
      </c>
    </row>
    <row r="12" spans="1:4" x14ac:dyDescent="0.3">
      <c r="A12">
        <v>11</v>
      </c>
      <c r="B12">
        <v>30.54</v>
      </c>
      <c r="C12">
        <v>266.3</v>
      </c>
    </row>
    <row r="13" spans="1:4" x14ac:dyDescent="0.3">
      <c r="A13">
        <v>12</v>
      </c>
      <c r="B13">
        <v>32.06</v>
      </c>
      <c r="C13">
        <v>298.39999999999998</v>
      </c>
    </row>
    <row r="14" spans="1:4" x14ac:dyDescent="0.3">
      <c r="A14">
        <v>13</v>
      </c>
      <c r="B14">
        <v>33.67</v>
      </c>
      <c r="C14">
        <v>332.1</v>
      </c>
    </row>
    <row r="15" spans="1:4" x14ac:dyDescent="0.3">
      <c r="A15">
        <v>14</v>
      </c>
      <c r="B15">
        <v>35.35</v>
      </c>
      <c r="C15">
        <v>367.4</v>
      </c>
    </row>
    <row r="16" spans="1:4" x14ac:dyDescent="0.3">
      <c r="A16">
        <v>15</v>
      </c>
      <c r="B16">
        <v>37.119999999999997</v>
      </c>
      <c r="C16">
        <v>404.5</v>
      </c>
    </row>
    <row r="17" spans="1:3" x14ac:dyDescent="0.3">
      <c r="A17">
        <v>16</v>
      </c>
      <c r="B17">
        <v>38.97</v>
      </c>
      <c r="C17">
        <v>443.5</v>
      </c>
    </row>
    <row r="18" spans="1:3" x14ac:dyDescent="0.3">
      <c r="A18">
        <v>17</v>
      </c>
      <c r="B18">
        <v>40.92</v>
      </c>
      <c r="C18">
        <v>484.4</v>
      </c>
    </row>
    <row r="19" spans="1:3" x14ac:dyDescent="0.3">
      <c r="A19">
        <v>18</v>
      </c>
      <c r="B19">
        <v>42.97</v>
      </c>
      <c r="C19">
        <v>527.4</v>
      </c>
    </row>
    <row r="20" spans="1:3" x14ac:dyDescent="0.3">
      <c r="A20">
        <v>19</v>
      </c>
      <c r="B20">
        <v>45.12</v>
      </c>
      <c r="C20">
        <v>572.5</v>
      </c>
    </row>
    <row r="21" spans="1:3" x14ac:dyDescent="0.3">
      <c r="A21">
        <v>20</v>
      </c>
      <c r="B21">
        <v>47.37</v>
      </c>
      <c r="C21">
        <v>619.9</v>
      </c>
    </row>
    <row r="22" spans="1:3" x14ac:dyDescent="0.3">
      <c r="A22">
        <v>21</v>
      </c>
      <c r="B22">
        <v>49.74</v>
      </c>
      <c r="C22">
        <v>669.6</v>
      </c>
    </row>
    <row r="23" spans="1:3" x14ac:dyDescent="0.3">
      <c r="A23">
        <v>22</v>
      </c>
      <c r="B23">
        <v>52.23</v>
      </c>
      <c r="C23">
        <v>721.9</v>
      </c>
    </row>
    <row r="24" spans="1:3" x14ac:dyDescent="0.3">
      <c r="A24">
        <v>23</v>
      </c>
      <c r="B24">
        <v>54.84</v>
      </c>
      <c r="C24">
        <v>776.7</v>
      </c>
    </row>
    <row r="25" spans="1:3" x14ac:dyDescent="0.3">
      <c r="A25">
        <v>24</v>
      </c>
      <c r="B25">
        <v>57.58</v>
      </c>
      <c r="C25">
        <v>834.3</v>
      </c>
    </row>
    <row r="26" spans="1:3" x14ac:dyDescent="0.3">
      <c r="A26">
        <v>25</v>
      </c>
      <c r="B26">
        <v>60.46</v>
      </c>
      <c r="C26">
        <v>894.8</v>
      </c>
    </row>
    <row r="27" spans="1:3" x14ac:dyDescent="0.3">
      <c r="A27">
        <v>26</v>
      </c>
      <c r="B27">
        <v>63.49</v>
      </c>
      <c r="C27">
        <v>958.2</v>
      </c>
    </row>
    <row r="28" spans="1:3" x14ac:dyDescent="0.3">
      <c r="A28">
        <v>27</v>
      </c>
      <c r="B28">
        <v>66.66</v>
      </c>
      <c r="C28">
        <v>1024.9000000000001</v>
      </c>
    </row>
    <row r="29" spans="1:3" x14ac:dyDescent="0.3">
      <c r="A29">
        <v>28</v>
      </c>
      <c r="B29">
        <v>69.989999999999995</v>
      </c>
      <c r="C29">
        <v>1094.9000000000001</v>
      </c>
    </row>
    <row r="30" spans="1:3" x14ac:dyDescent="0.3">
      <c r="A30">
        <v>29</v>
      </c>
      <c r="B30">
        <v>73.489999999999995</v>
      </c>
      <c r="C30">
        <v>1168.4000000000001</v>
      </c>
    </row>
    <row r="31" spans="1:3" x14ac:dyDescent="0.3">
      <c r="A31">
        <v>30</v>
      </c>
      <c r="B31">
        <v>77.17</v>
      </c>
      <c r="C31">
        <v>1245.5999999999999</v>
      </c>
    </row>
  </sheetData>
  <phoneticPr fontId="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topLeftCell="B1" workbookViewId="0">
      <selection activeCell="E30" sqref="E30"/>
    </sheetView>
  </sheetViews>
  <sheetFormatPr defaultRowHeight="16.5" x14ac:dyDescent="0.3"/>
  <cols>
    <col min="1" max="8" width="20.625" customWidth="1"/>
  </cols>
  <sheetData>
    <row r="1" spans="1:3" x14ac:dyDescent="0.3">
      <c r="A1" s="1" t="s">
        <v>44</v>
      </c>
      <c r="B1" s="1" t="s">
        <v>27</v>
      </c>
      <c r="C1" s="1" t="s">
        <v>45</v>
      </c>
    </row>
    <row r="2" spans="1:3" x14ac:dyDescent="0.3">
      <c r="A2">
        <v>1</v>
      </c>
      <c r="B2">
        <v>17.98</v>
      </c>
      <c r="C2">
        <v>18</v>
      </c>
    </row>
    <row r="3" spans="1:3" x14ac:dyDescent="0.3">
      <c r="A3">
        <v>2</v>
      </c>
      <c r="B3">
        <v>18.88</v>
      </c>
      <c r="C3">
        <v>36.9</v>
      </c>
    </row>
    <row r="4" spans="1:3" x14ac:dyDescent="0.3">
      <c r="A4">
        <v>3</v>
      </c>
      <c r="B4">
        <v>19.82</v>
      </c>
      <c r="C4">
        <v>56.7</v>
      </c>
    </row>
    <row r="5" spans="1:3" x14ac:dyDescent="0.3">
      <c r="A5">
        <v>4</v>
      </c>
      <c r="B5">
        <v>20.81</v>
      </c>
      <c r="C5">
        <v>77.5</v>
      </c>
    </row>
    <row r="6" spans="1:3" x14ac:dyDescent="0.3">
      <c r="A6">
        <v>5</v>
      </c>
      <c r="B6">
        <v>21.85</v>
      </c>
      <c r="C6">
        <v>99.3</v>
      </c>
    </row>
    <row r="7" spans="1:3" x14ac:dyDescent="0.3">
      <c r="A7">
        <v>6</v>
      </c>
      <c r="B7">
        <v>22.95</v>
      </c>
      <c r="C7">
        <v>122.3</v>
      </c>
    </row>
    <row r="8" spans="1:3" x14ac:dyDescent="0.3">
      <c r="A8">
        <v>7</v>
      </c>
      <c r="B8">
        <v>24.09</v>
      </c>
      <c r="C8">
        <v>146.4</v>
      </c>
    </row>
    <row r="9" spans="1:3" x14ac:dyDescent="0.3">
      <c r="A9">
        <v>8</v>
      </c>
      <c r="B9">
        <v>25.3</v>
      </c>
      <c r="C9">
        <v>171.7</v>
      </c>
    </row>
    <row r="10" spans="1:3" x14ac:dyDescent="0.3">
      <c r="A10">
        <v>9</v>
      </c>
      <c r="B10">
        <v>26.56</v>
      </c>
      <c r="C10">
        <v>198.2</v>
      </c>
    </row>
    <row r="11" spans="1:3" x14ac:dyDescent="0.3">
      <c r="A11">
        <v>10</v>
      </c>
      <c r="B11">
        <v>27.89</v>
      </c>
      <c r="C11">
        <v>226.1</v>
      </c>
    </row>
    <row r="12" spans="1:3" x14ac:dyDescent="0.3">
      <c r="A12">
        <v>11</v>
      </c>
      <c r="B12">
        <v>29.29</v>
      </c>
      <c r="C12">
        <v>255.4</v>
      </c>
    </row>
    <row r="13" spans="1:3" x14ac:dyDescent="0.3">
      <c r="A13">
        <v>12</v>
      </c>
      <c r="B13">
        <v>30.75</v>
      </c>
      <c r="C13">
        <v>286.2</v>
      </c>
    </row>
    <row r="14" spans="1:3" x14ac:dyDescent="0.3">
      <c r="A14">
        <v>13</v>
      </c>
      <c r="B14">
        <v>32.29</v>
      </c>
      <c r="C14">
        <v>318.5</v>
      </c>
    </row>
    <row r="15" spans="1:3" x14ac:dyDescent="0.3">
      <c r="A15">
        <v>14</v>
      </c>
      <c r="B15">
        <v>33.9</v>
      </c>
      <c r="C15">
        <v>352.4</v>
      </c>
    </row>
    <row r="16" spans="1:3" x14ac:dyDescent="0.3">
      <c r="A16">
        <v>15</v>
      </c>
      <c r="B16">
        <v>35.6</v>
      </c>
      <c r="C16">
        <v>388</v>
      </c>
    </row>
    <row r="17" spans="1:3" x14ac:dyDescent="0.3">
      <c r="A17">
        <v>16</v>
      </c>
      <c r="B17">
        <v>37.380000000000003</v>
      </c>
      <c r="C17">
        <v>425.3</v>
      </c>
    </row>
    <row r="18" spans="1:3" x14ac:dyDescent="0.3">
      <c r="A18">
        <v>17</v>
      </c>
      <c r="B18">
        <v>39.24</v>
      </c>
      <c r="C18">
        <v>464.6</v>
      </c>
    </row>
    <row r="19" spans="1:3" x14ac:dyDescent="0.3">
      <c r="A19">
        <v>18</v>
      </c>
      <c r="B19">
        <v>41.21</v>
      </c>
      <c r="C19">
        <v>505.8</v>
      </c>
    </row>
    <row r="20" spans="1:3" x14ac:dyDescent="0.3">
      <c r="A20">
        <v>19</v>
      </c>
      <c r="B20">
        <v>43.27</v>
      </c>
      <c r="C20">
        <v>549</v>
      </c>
    </row>
    <row r="21" spans="1:3" x14ac:dyDescent="0.3">
      <c r="A21">
        <v>20</v>
      </c>
      <c r="B21">
        <v>45.43</v>
      </c>
      <c r="C21">
        <v>594.5</v>
      </c>
    </row>
    <row r="22" spans="1:3" x14ac:dyDescent="0.3">
      <c r="A22">
        <v>21</v>
      </c>
      <c r="B22">
        <v>47.7</v>
      </c>
      <c r="C22">
        <v>642.20000000000005</v>
      </c>
    </row>
    <row r="23" spans="1:3" x14ac:dyDescent="0.3">
      <c r="A23">
        <v>22</v>
      </c>
      <c r="B23">
        <v>50.09</v>
      </c>
      <c r="C23">
        <v>692.3</v>
      </c>
    </row>
    <row r="24" spans="1:3" x14ac:dyDescent="0.3">
      <c r="A24">
        <v>23</v>
      </c>
      <c r="B24">
        <v>52.59</v>
      </c>
      <c r="C24">
        <v>744.9</v>
      </c>
    </row>
    <row r="25" spans="1:3" x14ac:dyDescent="0.3">
      <c r="A25">
        <v>24</v>
      </c>
      <c r="B25">
        <v>55.22</v>
      </c>
      <c r="C25">
        <v>800.1</v>
      </c>
    </row>
    <row r="26" spans="1:3" x14ac:dyDescent="0.3">
      <c r="A26">
        <v>25</v>
      </c>
      <c r="B26">
        <v>57.98</v>
      </c>
      <c r="C26">
        <v>858.1</v>
      </c>
    </row>
    <row r="27" spans="1:3" x14ac:dyDescent="0.3">
      <c r="A27">
        <v>26</v>
      </c>
      <c r="B27">
        <v>60.88</v>
      </c>
      <c r="C27">
        <v>918.9</v>
      </c>
    </row>
    <row r="28" spans="1:3" x14ac:dyDescent="0.3">
      <c r="A28">
        <v>27</v>
      </c>
      <c r="B28">
        <v>63.93</v>
      </c>
      <c r="C28">
        <v>982.9</v>
      </c>
    </row>
    <row r="29" spans="1:3" x14ac:dyDescent="0.3">
      <c r="A29">
        <v>28</v>
      </c>
      <c r="B29">
        <v>67.12</v>
      </c>
      <c r="C29">
        <v>1050</v>
      </c>
    </row>
    <row r="30" spans="1:3" x14ac:dyDescent="0.3">
      <c r="A30">
        <v>29</v>
      </c>
      <c r="B30">
        <v>70.48</v>
      </c>
      <c r="C30">
        <v>1120.5</v>
      </c>
    </row>
    <row r="31" spans="1:3" x14ac:dyDescent="0.3">
      <c r="A31">
        <v>30</v>
      </c>
      <c r="B31">
        <v>74</v>
      </c>
      <c r="C31">
        <v>1194.5</v>
      </c>
    </row>
  </sheetData>
  <phoneticPr fontId="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J13" sqref="J13"/>
    </sheetView>
  </sheetViews>
  <sheetFormatPr defaultRowHeight="16.5" x14ac:dyDescent="0.3"/>
  <cols>
    <col min="1" max="11" width="20.625" customWidth="1"/>
  </cols>
  <sheetData>
    <row r="1" spans="1:3" x14ac:dyDescent="0.3">
      <c r="A1" s="1" t="s">
        <v>44</v>
      </c>
      <c r="B1" s="1" t="s">
        <v>27</v>
      </c>
      <c r="C1" s="1" t="s">
        <v>45</v>
      </c>
    </row>
    <row r="2" spans="1:3" x14ac:dyDescent="0.3">
      <c r="A2">
        <v>1</v>
      </c>
      <c r="B2">
        <v>17.850000000000001</v>
      </c>
      <c r="C2">
        <v>17.8</v>
      </c>
    </row>
    <row r="3" spans="1:3" x14ac:dyDescent="0.3">
      <c r="A3">
        <v>2</v>
      </c>
      <c r="B3">
        <v>18.739999999999998</v>
      </c>
      <c r="C3">
        <v>36.6</v>
      </c>
    </row>
    <row r="4" spans="1:3" x14ac:dyDescent="0.3">
      <c r="A4">
        <v>3</v>
      </c>
      <c r="B4">
        <v>19.68</v>
      </c>
      <c r="C4">
        <v>56.3</v>
      </c>
    </row>
    <row r="5" spans="1:3" x14ac:dyDescent="0.3">
      <c r="A5">
        <v>4</v>
      </c>
      <c r="B5">
        <v>20.66</v>
      </c>
      <c r="C5">
        <v>76.900000000000006</v>
      </c>
    </row>
    <row r="6" spans="1:3" x14ac:dyDescent="0.3">
      <c r="A6">
        <v>5</v>
      </c>
      <c r="B6">
        <v>21.69</v>
      </c>
      <c r="C6">
        <v>98.6</v>
      </c>
    </row>
    <row r="7" spans="1:3" x14ac:dyDescent="0.3">
      <c r="A7">
        <v>6</v>
      </c>
      <c r="B7">
        <v>22.78</v>
      </c>
      <c r="C7">
        <v>121.4</v>
      </c>
    </row>
    <row r="8" spans="1:3" x14ac:dyDescent="0.3">
      <c r="A8">
        <v>7</v>
      </c>
      <c r="B8">
        <v>23.92</v>
      </c>
      <c r="C8">
        <v>145.30000000000001</v>
      </c>
    </row>
    <row r="9" spans="1:3" x14ac:dyDescent="0.3">
      <c r="A9">
        <v>8</v>
      </c>
      <c r="B9">
        <v>25.11</v>
      </c>
      <c r="C9">
        <v>170.4</v>
      </c>
    </row>
    <row r="10" spans="1:3" x14ac:dyDescent="0.3">
      <c r="A10">
        <v>9</v>
      </c>
      <c r="B10">
        <v>26.37</v>
      </c>
      <c r="C10">
        <v>196.8</v>
      </c>
    </row>
    <row r="11" spans="1:3" x14ac:dyDescent="0.3">
      <c r="A11">
        <v>10</v>
      </c>
      <c r="B11">
        <v>27.69</v>
      </c>
      <c r="C11">
        <v>224.5</v>
      </c>
    </row>
    <row r="12" spans="1:3" x14ac:dyDescent="0.3">
      <c r="A12">
        <v>11</v>
      </c>
      <c r="B12">
        <v>29.07</v>
      </c>
      <c r="C12">
        <v>253.5</v>
      </c>
    </row>
    <row r="13" spans="1:3" x14ac:dyDescent="0.3">
      <c r="A13">
        <v>12</v>
      </c>
      <c r="B13">
        <v>30.52</v>
      </c>
      <c r="C13">
        <v>284.10000000000002</v>
      </c>
    </row>
    <row r="14" spans="1:3" x14ac:dyDescent="0.3">
      <c r="A14">
        <v>13</v>
      </c>
      <c r="B14">
        <v>32.049999999999997</v>
      </c>
      <c r="C14">
        <v>316.10000000000002</v>
      </c>
    </row>
    <row r="15" spans="1:3" x14ac:dyDescent="0.3">
      <c r="A15">
        <v>14</v>
      </c>
      <c r="B15">
        <v>33.65</v>
      </c>
      <c r="C15">
        <v>349.8</v>
      </c>
    </row>
    <row r="16" spans="1:3" x14ac:dyDescent="0.3">
      <c r="A16">
        <v>15</v>
      </c>
      <c r="B16">
        <v>35.340000000000003</v>
      </c>
      <c r="C16">
        <v>385.1</v>
      </c>
    </row>
    <row r="17" spans="1:3" x14ac:dyDescent="0.3">
      <c r="A17">
        <v>16</v>
      </c>
      <c r="B17">
        <v>37.1</v>
      </c>
      <c r="C17">
        <v>422.2</v>
      </c>
    </row>
    <row r="18" spans="1:3" x14ac:dyDescent="0.3">
      <c r="A18">
        <v>17</v>
      </c>
      <c r="B18">
        <v>38.96</v>
      </c>
      <c r="C18">
        <v>461.2</v>
      </c>
    </row>
    <row r="19" spans="1:3" x14ac:dyDescent="0.3">
      <c r="A19">
        <v>18</v>
      </c>
      <c r="B19">
        <v>40.909999999999997</v>
      </c>
      <c r="C19">
        <v>502.1</v>
      </c>
    </row>
    <row r="20" spans="1:3" x14ac:dyDescent="0.3">
      <c r="A20">
        <v>19</v>
      </c>
      <c r="B20">
        <v>42.95</v>
      </c>
      <c r="C20">
        <v>545</v>
      </c>
    </row>
    <row r="21" spans="1:3" x14ac:dyDescent="0.3">
      <c r="A21">
        <v>20</v>
      </c>
      <c r="B21">
        <v>45.1</v>
      </c>
      <c r="C21">
        <v>590.1</v>
      </c>
    </row>
    <row r="22" spans="1:3" x14ac:dyDescent="0.3">
      <c r="A22">
        <v>21</v>
      </c>
      <c r="B22">
        <v>47.35</v>
      </c>
      <c r="C22">
        <v>637.5</v>
      </c>
    </row>
    <row r="23" spans="1:3" x14ac:dyDescent="0.3">
      <c r="A23">
        <v>22</v>
      </c>
      <c r="B23">
        <v>49.72</v>
      </c>
      <c r="C23">
        <v>687.2</v>
      </c>
    </row>
    <row r="24" spans="1:3" x14ac:dyDescent="0.3">
      <c r="A24">
        <v>23</v>
      </c>
      <c r="B24">
        <v>52.21</v>
      </c>
      <c r="C24">
        <v>739.4</v>
      </c>
    </row>
    <row r="25" spans="1:3" x14ac:dyDescent="0.3">
      <c r="A25">
        <v>24</v>
      </c>
      <c r="B25">
        <v>54.82</v>
      </c>
      <c r="C25">
        <v>794.2</v>
      </c>
    </row>
    <row r="26" spans="1:3" x14ac:dyDescent="0.3">
      <c r="A26">
        <v>25</v>
      </c>
      <c r="B26">
        <v>57.56</v>
      </c>
      <c r="C26">
        <v>851.8</v>
      </c>
    </row>
    <row r="27" spans="1:3" x14ac:dyDescent="0.3">
      <c r="A27">
        <v>26</v>
      </c>
      <c r="B27">
        <v>60.44</v>
      </c>
      <c r="C27">
        <v>912.2</v>
      </c>
    </row>
    <row r="28" spans="1:3" x14ac:dyDescent="0.3">
      <c r="A28">
        <v>27</v>
      </c>
      <c r="B28">
        <v>63.46</v>
      </c>
      <c r="C28">
        <v>975.7</v>
      </c>
    </row>
    <row r="29" spans="1:3" x14ac:dyDescent="0.3">
      <c r="A29">
        <v>28</v>
      </c>
      <c r="B29">
        <v>66.63</v>
      </c>
      <c r="C29">
        <v>1042.3</v>
      </c>
    </row>
    <row r="30" spans="1:3" x14ac:dyDescent="0.3">
      <c r="A30">
        <v>29</v>
      </c>
      <c r="B30">
        <v>69.959999999999994</v>
      </c>
      <c r="C30">
        <v>1112.3</v>
      </c>
    </row>
    <row r="31" spans="1:3" x14ac:dyDescent="0.3">
      <c r="A31">
        <v>30</v>
      </c>
      <c r="B31">
        <v>73.459999999999994</v>
      </c>
      <c r="C31">
        <v>1185.7</v>
      </c>
    </row>
  </sheetData>
  <phoneticPr fontId="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"/>
  <sheetViews>
    <sheetView workbookViewId="0">
      <selection activeCell="E28" sqref="E27:E28"/>
    </sheetView>
  </sheetViews>
  <sheetFormatPr defaultRowHeight="16.5" x14ac:dyDescent="0.3"/>
  <cols>
    <col min="1" max="10" width="20.625" customWidth="1"/>
  </cols>
  <sheetData>
    <row r="1" spans="1:3" x14ac:dyDescent="0.3">
      <c r="A1" s="1" t="s">
        <v>44</v>
      </c>
      <c r="B1" s="1" t="s">
        <v>27</v>
      </c>
      <c r="C1" s="1" t="s">
        <v>45</v>
      </c>
    </row>
    <row r="2" spans="1:3" x14ac:dyDescent="0.3">
      <c r="A2">
        <v>1</v>
      </c>
      <c r="B2">
        <v>16.670000000000002</v>
      </c>
      <c r="C2">
        <v>16.7</v>
      </c>
    </row>
    <row r="3" spans="1:3" x14ac:dyDescent="0.3">
      <c r="A3">
        <v>2</v>
      </c>
      <c r="B3">
        <v>17.5</v>
      </c>
      <c r="C3">
        <v>34.200000000000003</v>
      </c>
    </row>
    <row r="4" spans="1:3" x14ac:dyDescent="0.3">
      <c r="A4">
        <v>3</v>
      </c>
      <c r="B4">
        <v>18.38</v>
      </c>
      <c r="C4">
        <v>52.5</v>
      </c>
    </row>
    <row r="5" spans="1:3" x14ac:dyDescent="0.3">
      <c r="A5">
        <v>4</v>
      </c>
      <c r="B5">
        <v>19.3</v>
      </c>
      <c r="C5">
        <v>71.8</v>
      </c>
    </row>
    <row r="6" spans="1:3" x14ac:dyDescent="0.3">
      <c r="A6">
        <v>5</v>
      </c>
      <c r="B6">
        <v>20.260000000000002</v>
      </c>
      <c r="C6">
        <v>92.1</v>
      </c>
    </row>
    <row r="7" spans="1:3" x14ac:dyDescent="0.3">
      <c r="A7">
        <v>6</v>
      </c>
      <c r="B7">
        <v>21.27</v>
      </c>
      <c r="C7">
        <v>113.4</v>
      </c>
    </row>
    <row r="8" spans="1:3" x14ac:dyDescent="0.3">
      <c r="A8">
        <v>7</v>
      </c>
      <c r="B8">
        <v>22.34</v>
      </c>
      <c r="C8">
        <v>135.69999999999999</v>
      </c>
    </row>
    <row r="9" spans="1:3" x14ac:dyDescent="0.3">
      <c r="A9">
        <v>8</v>
      </c>
      <c r="B9">
        <v>23.46</v>
      </c>
      <c r="C9">
        <v>159.19999999999999</v>
      </c>
    </row>
    <row r="10" spans="1:3" x14ac:dyDescent="0.3">
      <c r="A10">
        <v>9</v>
      </c>
      <c r="B10">
        <v>24.63</v>
      </c>
      <c r="C10">
        <v>183.8</v>
      </c>
    </row>
    <row r="11" spans="1:3" x14ac:dyDescent="0.3">
      <c r="A11">
        <v>10</v>
      </c>
      <c r="B11">
        <v>25.86</v>
      </c>
      <c r="C11">
        <v>209.7</v>
      </c>
    </row>
    <row r="12" spans="1:3" x14ac:dyDescent="0.3">
      <c r="A12">
        <v>11</v>
      </c>
      <c r="B12">
        <v>27.15</v>
      </c>
      <c r="C12">
        <v>236.8</v>
      </c>
    </row>
    <row r="13" spans="1:3" x14ac:dyDescent="0.3">
      <c r="A13">
        <v>12</v>
      </c>
      <c r="B13">
        <v>28.51</v>
      </c>
      <c r="C13">
        <v>265.3</v>
      </c>
    </row>
    <row r="14" spans="1:3" x14ac:dyDescent="0.3">
      <c r="A14">
        <v>13</v>
      </c>
      <c r="B14">
        <v>29.94</v>
      </c>
      <c r="C14">
        <v>295.3</v>
      </c>
    </row>
    <row r="15" spans="1:3" x14ac:dyDescent="0.3">
      <c r="A15">
        <v>14</v>
      </c>
      <c r="B15">
        <v>31.43</v>
      </c>
      <c r="C15">
        <v>326.7</v>
      </c>
    </row>
    <row r="16" spans="1:3" x14ac:dyDescent="0.3">
      <c r="A16">
        <v>15</v>
      </c>
      <c r="B16">
        <v>33</v>
      </c>
      <c r="C16">
        <v>359.7</v>
      </c>
    </row>
    <row r="17" spans="1:3" x14ac:dyDescent="0.3">
      <c r="A17">
        <v>16</v>
      </c>
      <c r="B17">
        <v>34.65</v>
      </c>
      <c r="C17">
        <v>394.4</v>
      </c>
    </row>
    <row r="18" spans="1:3" x14ac:dyDescent="0.3">
      <c r="A18">
        <v>17</v>
      </c>
      <c r="B18">
        <v>36.39</v>
      </c>
      <c r="C18">
        <v>430.7</v>
      </c>
    </row>
    <row r="19" spans="1:3" x14ac:dyDescent="0.3">
      <c r="A19">
        <v>18</v>
      </c>
      <c r="B19">
        <v>38.21</v>
      </c>
      <c r="C19">
        <v>468.9</v>
      </c>
    </row>
    <row r="20" spans="1:3" x14ac:dyDescent="0.3">
      <c r="A20">
        <v>19</v>
      </c>
      <c r="B20">
        <v>40.119999999999997</v>
      </c>
      <c r="C20">
        <v>509.1</v>
      </c>
    </row>
    <row r="21" spans="1:3" x14ac:dyDescent="0.3">
      <c r="A21">
        <v>20</v>
      </c>
      <c r="B21">
        <v>42.12</v>
      </c>
      <c r="C21">
        <v>551.20000000000005</v>
      </c>
    </row>
    <row r="22" spans="1:3" x14ac:dyDescent="0.3">
      <c r="A22">
        <v>21</v>
      </c>
      <c r="B22">
        <v>44.23</v>
      </c>
      <c r="C22">
        <v>595.4</v>
      </c>
    </row>
    <row r="23" spans="1:3" x14ac:dyDescent="0.3">
      <c r="A23">
        <v>22</v>
      </c>
      <c r="B23">
        <v>46.44</v>
      </c>
      <c r="C23">
        <v>641.9</v>
      </c>
    </row>
    <row r="24" spans="1:3" x14ac:dyDescent="0.3">
      <c r="A24">
        <v>23</v>
      </c>
      <c r="B24">
        <v>48.76</v>
      </c>
      <c r="C24">
        <v>690.6</v>
      </c>
    </row>
    <row r="25" spans="1:3" x14ac:dyDescent="0.3">
      <c r="A25">
        <v>24</v>
      </c>
      <c r="B25">
        <v>51.2</v>
      </c>
      <c r="C25">
        <v>741.8</v>
      </c>
    </row>
    <row r="26" spans="1:3" x14ac:dyDescent="0.3">
      <c r="A26">
        <v>25</v>
      </c>
      <c r="B26">
        <v>53.76</v>
      </c>
      <c r="C26">
        <v>795.6</v>
      </c>
    </row>
    <row r="27" spans="1:3" x14ac:dyDescent="0.3">
      <c r="A27">
        <v>26</v>
      </c>
      <c r="B27">
        <v>56.45</v>
      </c>
      <c r="C27">
        <v>852</v>
      </c>
    </row>
    <row r="28" spans="1:3" x14ac:dyDescent="0.3">
      <c r="A28">
        <v>27</v>
      </c>
      <c r="B28">
        <v>59.27</v>
      </c>
      <c r="C28">
        <v>911.3</v>
      </c>
    </row>
    <row r="29" spans="1:3" x14ac:dyDescent="0.3">
      <c r="A29">
        <v>28</v>
      </c>
      <c r="B29">
        <v>62.23</v>
      </c>
      <c r="C29">
        <v>973.5</v>
      </c>
    </row>
    <row r="30" spans="1:3" x14ac:dyDescent="0.3">
      <c r="A30">
        <v>29</v>
      </c>
      <c r="B30">
        <v>65.349999999999994</v>
      </c>
      <c r="C30">
        <v>1038.9000000000001</v>
      </c>
    </row>
    <row r="31" spans="1:3" x14ac:dyDescent="0.3">
      <c r="A31">
        <v>30</v>
      </c>
      <c r="B31">
        <v>68.61</v>
      </c>
      <c r="C31">
        <v>1107.5</v>
      </c>
    </row>
  </sheetData>
  <phoneticPr fontId="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zoomScale="55" zoomScaleNormal="55" workbookViewId="0">
      <selection activeCell="V44" sqref="V44"/>
    </sheetView>
  </sheetViews>
  <sheetFormatPr defaultRowHeight="16.5" x14ac:dyDescent="0.3"/>
  <cols>
    <col min="1" max="11" width="20.625" customWidth="1"/>
  </cols>
  <sheetData>
    <row r="1" spans="1:5" x14ac:dyDescent="0.3">
      <c r="A1" s="1" t="s">
        <v>44</v>
      </c>
      <c r="B1" s="1" t="s">
        <v>27</v>
      </c>
      <c r="C1" s="1" t="s">
        <v>45</v>
      </c>
      <c r="D1" s="1" t="s">
        <v>27</v>
      </c>
      <c r="E1" s="1" t="s">
        <v>45</v>
      </c>
    </row>
    <row r="2" spans="1:5" x14ac:dyDescent="0.3">
      <c r="A2">
        <v>1</v>
      </c>
      <c r="B2">
        <v>16.38</v>
      </c>
      <c r="C2">
        <v>16.399999999999999</v>
      </c>
      <c r="D2">
        <v>18.75</v>
      </c>
      <c r="E2">
        <v>18.7</v>
      </c>
    </row>
    <row r="3" spans="1:5" x14ac:dyDescent="0.3">
      <c r="A3">
        <v>2</v>
      </c>
      <c r="B3">
        <v>17.2</v>
      </c>
      <c r="C3">
        <v>33.6</v>
      </c>
      <c r="D3">
        <v>19.68</v>
      </c>
      <c r="E3">
        <v>38.4</v>
      </c>
    </row>
    <row r="4" spans="1:5" x14ac:dyDescent="0.3">
      <c r="A4">
        <v>3</v>
      </c>
      <c r="B4">
        <v>18.05</v>
      </c>
      <c r="C4">
        <v>51.6</v>
      </c>
      <c r="D4">
        <v>20.67</v>
      </c>
      <c r="E4">
        <v>59.1</v>
      </c>
    </row>
    <row r="5" spans="1:5" x14ac:dyDescent="0.3">
      <c r="A5">
        <v>4</v>
      </c>
      <c r="B5">
        <v>18.96</v>
      </c>
      <c r="C5">
        <v>70.599999999999994</v>
      </c>
      <c r="D5">
        <v>21.7</v>
      </c>
      <c r="E5">
        <v>80.8</v>
      </c>
    </row>
    <row r="6" spans="1:5" x14ac:dyDescent="0.3">
      <c r="A6">
        <v>5</v>
      </c>
      <c r="B6">
        <v>19.91</v>
      </c>
      <c r="C6">
        <v>90.5</v>
      </c>
      <c r="D6">
        <v>22.79</v>
      </c>
      <c r="E6">
        <v>103.6</v>
      </c>
    </row>
    <row r="7" spans="1:5" x14ac:dyDescent="0.3">
      <c r="A7">
        <v>6</v>
      </c>
      <c r="B7">
        <v>20.9</v>
      </c>
      <c r="C7">
        <v>111.4</v>
      </c>
      <c r="D7">
        <v>23.93</v>
      </c>
      <c r="E7">
        <v>127.5</v>
      </c>
    </row>
    <row r="8" spans="1:5" x14ac:dyDescent="0.3">
      <c r="A8">
        <v>7</v>
      </c>
      <c r="B8">
        <v>21.95</v>
      </c>
      <c r="C8">
        <v>133.30000000000001</v>
      </c>
      <c r="D8">
        <v>25.12</v>
      </c>
      <c r="E8">
        <v>152.6</v>
      </c>
    </row>
    <row r="9" spans="1:5" x14ac:dyDescent="0.3">
      <c r="A9">
        <v>8</v>
      </c>
      <c r="B9">
        <v>23.04</v>
      </c>
      <c r="C9">
        <v>156.4</v>
      </c>
      <c r="D9">
        <v>26.38</v>
      </c>
      <c r="E9">
        <v>179</v>
      </c>
    </row>
    <row r="10" spans="1:5" x14ac:dyDescent="0.3">
      <c r="A10">
        <v>9</v>
      </c>
      <c r="B10">
        <v>24.2</v>
      </c>
      <c r="C10">
        <v>180.6</v>
      </c>
      <c r="D10">
        <v>27.7</v>
      </c>
      <c r="E10">
        <v>206.7</v>
      </c>
    </row>
    <row r="11" spans="1:5" x14ac:dyDescent="0.3">
      <c r="A11">
        <v>10</v>
      </c>
      <c r="B11">
        <v>25.41</v>
      </c>
      <c r="C11">
        <v>206</v>
      </c>
      <c r="D11">
        <v>29.08</v>
      </c>
      <c r="E11">
        <v>235.8</v>
      </c>
    </row>
    <row r="12" spans="1:5" x14ac:dyDescent="0.3">
      <c r="A12">
        <v>11</v>
      </c>
      <c r="B12">
        <v>26.68</v>
      </c>
      <c r="C12">
        <v>232.7</v>
      </c>
      <c r="D12">
        <v>30.54</v>
      </c>
      <c r="E12">
        <v>266.3</v>
      </c>
    </row>
    <row r="13" spans="1:5" x14ac:dyDescent="0.3">
      <c r="A13">
        <v>12</v>
      </c>
      <c r="B13">
        <v>28.01</v>
      </c>
      <c r="C13">
        <v>260.7</v>
      </c>
      <c r="D13">
        <v>32.06</v>
      </c>
      <c r="E13">
        <v>298.39999999999998</v>
      </c>
    </row>
    <row r="14" spans="1:5" x14ac:dyDescent="0.3">
      <c r="A14">
        <v>13</v>
      </c>
      <c r="B14">
        <v>29.41</v>
      </c>
      <c r="C14">
        <v>290.10000000000002</v>
      </c>
      <c r="D14">
        <v>33.67</v>
      </c>
      <c r="E14">
        <v>332.1</v>
      </c>
    </row>
    <row r="15" spans="1:5" x14ac:dyDescent="0.3">
      <c r="A15">
        <v>14</v>
      </c>
      <c r="B15">
        <v>30.88</v>
      </c>
      <c r="C15">
        <v>321</v>
      </c>
      <c r="D15">
        <v>35.35</v>
      </c>
      <c r="E15">
        <v>367.4</v>
      </c>
    </row>
    <row r="16" spans="1:5" x14ac:dyDescent="0.3">
      <c r="A16">
        <v>15</v>
      </c>
      <c r="B16">
        <v>32.42</v>
      </c>
      <c r="C16">
        <v>353.4</v>
      </c>
      <c r="D16">
        <v>37.119999999999997</v>
      </c>
      <c r="E16">
        <v>404.5</v>
      </c>
    </row>
    <row r="17" spans="1:5" x14ac:dyDescent="0.3">
      <c r="A17">
        <v>16</v>
      </c>
      <c r="B17">
        <v>34.049999999999997</v>
      </c>
      <c r="C17">
        <v>387.4</v>
      </c>
      <c r="D17">
        <v>38.97</v>
      </c>
      <c r="E17">
        <v>443.5</v>
      </c>
    </row>
    <row r="18" spans="1:5" x14ac:dyDescent="0.3">
      <c r="A18">
        <v>17</v>
      </c>
      <c r="B18">
        <v>35.75</v>
      </c>
      <c r="C18">
        <v>423.2</v>
      </c>
      <c r="D18">
        <v>40.92</v>
      </c>
      <c r="E18">
        <v>484.4</v>
      </c>
    </row>
    <row r="19" spans="1:5" x14ac:dyDescent="0.3">
      <c r="A19">
        <v>18</v>
      </c>
      <c r="B19">
        <v>37.54</v>
      </c>
      <c r="C19">
        <v>460.7</v>
      </c>
      <c r="D19">
        <v>42.97</v>
      </c>
      <c r="E19">
        <v>527.4</v>
      </c>
    </row>
    <row r="20" spans="1:5" x14ac:dyDescent="0.3">
      <c r="A20">
        <v>19</v>
      </c>
      <c r="B20">
        <v>39.409999999999997</v>
      </c>
      <c r="C20">
        <v>500.1</v>
      </c>
      <c r="D20">
        <v>45.12</v>
      </c>
      <c r="E20">
        <v>572.5</v>
      </c>
    </row>
    <row r="21" spans="1:5" x14ac:dyDescent="0.3">
      <c r="A21">
        <v>20</v>
      </c>
      <c r="B21">
        <v>41.38</v>
      </c>
      <c r="C21">
        <v>541.5</v>
      </c>
      <c r="D21">
        <v>47.37</v>
      </c>
      <c r="E21">
        <v>619.9</v>
      </c>
    </row>
    <row r="22" spans="1:5" x14ac:dyDescent="0.3">
      <c r="A22">
        <v>21</v>
      </c>
      <c r="B22">
        <v>43.45</v>
      </c>
      <c r="C22">
        <v>585</v>
      </c>
      <c r="D22">
        <v>49.74</v>
      </c>
      <c r="E22">
        <v>669.6</v>
      </c>
    </row>
    <row r="23" spans="1:5" x14ac:dyDescent="0.3">
      <c r="A23">
        <v>22</v>
      </c>
      <c r="B23">
        <v>45.62</v>
      </c>
      <c r="C23">
        <v>630.6</v>
      </c>
      <c r="D23">
        <v>52.23</v>
      </c>
      <c r="E23">
        <v>721.9</v>
      </c>
    </row>
    <row r="24" spans="1:5" x14ac:dyDescent="0.3">
      <c r="A24">
        <v>23</v>
      </c>
      <c r="B24">
        <v>47.91</v>
      </c>
      <c r="C24">
        <v>678.5</v>
      </c>
      <c r="D24">
        <v>54.84</v>
      </c>
      <c r="E24">
        <v>776.7</v>
      </c>
    </row>
    <row r="25" spans="1:5" x14ac:dyDescent="0.3">
      <c r="A25">
        <v>24</v>
      </c>
      <c r="B25">
        <v>50.3</v>
      </c>
      <c r="C25">
        <v>728.8</v>
      </c>
      <c r="D25">
        <v>57.58</v>
      </c>
      <c r="E25">
        <v>834.3</v>
      </c>
    </row>
    <row r="26" spans="1:5" x14ac:dyDescent="0.3">
      <c r="A26">
        <v>25</v>
      </c>
      <c r="B26">
        <v>52.82</v>
      </c>
      <c r="C26">
        <v>781.6</v>
      </c>
      <c r="D26">
        <v>60.46</v>
      </c>
      <c r="E26">
        <v>894.8</v>
      </c>
    </row>
    <row r="27" spans="1:5" x14ac:dyDescent="0.3">
      <c r="A27">
        <v>26</v>
      </c>
      <c r="B27">
        <v>55.46</v>
      </c>
      <c r="C27">
        <v>837.1</v>
      </c>
      <c r="D27">
        <v>63.49</v>
      </c>
      <c r="E27">
        <v>958.2</v>
      </c>
    </row>
    <row r="28" spans="1:5" x14ac:dyDescent="0.3">
      <c r="A28">
        <v>27</v>
      </c>
      <c r="B28">
        <v>58.23</v>
      </c>
      <c r="C28">
        <v>895.3</v>
      </c>
      <c r="D28">
        <v>66.66</v>
      </c>
      <c r="E28">
        <v>1024.9000000000001</v>
      </c>
    </row>
    <row r="29" spans="1:5" x14ac:dyDescent="0.3">
      <c r="A29">
        <v>28</v>
      </c>
      <c r="B29">
        <v>61.14</v>
      </c>
      <c r="C29">
        <v>956.4</v>
      </c>
      <c r="D29">
        <v>69.989999999999995</v>
      </c>
      <c r="E29">
        <v>1094.9000000000001</v>
      </c>
    </row>
    <row r="30" spans="1:5" x14ac:dyDescent="0.3">
      <c r="A30">
        <v>29</v>
      </c>
      <c r="B30">
        <v>64.2</v>
      </c>
      <c r="C30">
        <v>1020.6</v>
      </c>
      <c r="D30">
        <v>73.489999999999995</v>
      </c>
      <c r="E30">
        <v>1168.4000000000001</v>
      </c>
    </row>
    <row r="31" spans="1:5" x14ac:dyDescent="0.3">
      <c r="A31">
        <v>30</v>
      </c>
      <c r="B31">
        <v>67.41</v>
      </c>
      <c r="C31">
        <v>1088</v>
      </c>
      <c r="D31">
        <v>77.17</v>
      </c>
      <c r="E31">
        <v>1245.5999999999999</v>
      </c>
    </row>
  </sheetData>
  <phoneticPr fontId="2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E60E-C773-4597-93E9-F1F98668ACE6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분석조건</vt:lpstr>
      <vt:lpstr>에너지</vt:lpstr>
      <vt:lpstr>경제</vt:lpstr>
      <vt:lpstr>환경</vt:lpstr>
      <vt:lpstr>종합KPI</vt:lpstr>
      <vt:lpstr>민감도_NPV</vt:lpstr>
      <vt:lpstr>누적_춘천</vt:lpstr>
      <vt:lpstr>누적_구미</vt:lpstr>
      <vt:lpstr>누적_세종</vt:lpstr>
      <vt:lpstr>누적_울산</vt:lpstr>
      <vt:lpstr>누적_해남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민석 김</cp:lastModifiedBy>
  <dcterms:created xsi:type="dcterms:W3CDTF">2026-05-31T00:06:41Z</dcterms:created>
  <dcterms:modified xsi:type="dcterms:W3CDTF">2026-06-09T00:27:17Z</dcterms:modified>
</cp:coreProperties>
</file>